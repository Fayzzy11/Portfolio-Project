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 sheetId="1" state="visible" r:id="rId1"/>
    <sheet xmlns:r="http://schemas.openxmlformats.org/officeDocument/2006/relationships" name="Dashboard" sheetId="2" state="visible" r:id="rId2"/>
    <sheet xmlns:r="http://schemas.openxmlformats.org/officeDocument/2006/relationships" name="Holdings" sheetId="3" state="visible" r:id="rId3"/>
    <sheet xmlns:r="http://schemas.openxmlformats.org/officeDocument/2006/relationships" name="Transactions" sheetId="4" state="visible" r:id="rId4"/>
    <sheet xmlns:r="http://schemas.openxmlformats.org/officeDocument/2006/relationships" name="History" sheetId="5" state="visible" r:id="rId5"/>
    <sheet xmlns:r="http://schemas.openxmlformats.org/officeDocument/2006/relationships" name="Risk" sheetId="6" state="visible" r:id="rId6"/>
    <sheet xmlns:r="http://schemas.openxmlformats.org/officeDocument/2006/relationships" name="Allocation" sheetId="7" state="visible" r:id="rId7"/>
    <sheet xmlns:r="http://schemas.openxmlformats.org/officeDocument/2006/relationships" name="Journal" sheetId="8" state="visible" r:id="rId8"/>
    <sheet xmlns:r="http://schemas.openxmlformats.org/officeDocument/2006/relationships" name="Settings" sheetId="9" state="visible" r:id="rId9"/>
    <sheet xmlns:r="http://schemas.openxmlformats.org/officeDocument/2006/relationships" name="ChartData" sheetId="10" state="hidden" r:id="rId10"/>
  </sheets>
  <definedNames/>
  <calcPr calcId="124519" fullCalcOnLoad="1"/>
</workbook>
</file>

<file path=xl/styles.xml><?xml version="1.0" encoding="utf-8"?>
<styleSheet xmlns="http://schemas.openxmlformats.org/spreadsheetml/2006/main">
  <numFmts count="12">
    <numFmt numFmtId="164" formatCode="0.00%;-0.00%;-"/>
    <numFmt numFmtId="165" formatCode="0.0%;-0.0%;-"/>
    <numFmt numFmtId="166" formatCode="yyyy-mm-dd"/>
    <numFmt numFmtId="167" formatCode="dd/mm/yyyy"/>
    <numFmt numFmtId="168" formatCode="#,##0.####"/>
    <numFmt numFmtId="169" formatCode="#,##0.00;-#,##0.00;-"/>
    <numFmt numFmtId="170" formatCode="0.0000"/>
    <numFmt numFmtId="171" formatCode="#,##0.00 &quot;€&quot;;-#,##0.00 &quot;€&quot;;-"/>
    <numFmt numFmtId="172" formatCode="#,##0 &quot;€&quot;;-#,##0 &quot;€&quot;;-"/>
    <numFmt numFmtId="173" formatCode="0.0"/>
    <numFmt numFmtId="174" formatCode="0.000000"/>
    <numFmt numFmtId="175" formatCode="0.000"/>
  </numFmts>
  <fonts count="11">
    <font>
      <name val="Calibri"/>
      <family val="2"/>
      <color theme="1"/>
      <sz val="11"/>
      <scheme val="minor"/>
    </font>
    <font>
      <name val="Arial"/>
      <b val="1"/>
      <color rgb="001F3864"/>
      <sz val="18"/>
    </font>
    <font>
      <name val="Arial"/>
      <i val="1"/>
      <color rgb="005F6670"/>
      <sz val="10"/>
    </font>
    <font>
      <name val="Arial"/>
      <b val="1"/>
      <color rgb="001A1A1A"/>
      <sz val="10"/>
    </font>
    <font>
      <name val="Arial"/>
      <color rgb="001A1A1A"/>
      <sz val="10"/>
    </font>
    <font>
      <name val="Arial"/>
      <color rgb="000000FF"/>
      <sz val="10"/>
    </font>
    <font>
      <name val="Arial"/>
      <b val="1"/>
      <color rgb="001F3864"/>
      <sz val="12"/>
    </font>
    <font>
      <name val="Arial"/>
      <b val="1"/>
      <color rgb="00FFFFFF"/>
      <sz val="10"/>
    </font>
    <font>
      <name val="Arial"/>
      <color rgb="00008000"/>
      <sz val="10"/>
    </font>
    <font>
      <name val="Arial"/>
      <color rgb="005F6670"/>
      <sz val="9"/>
    </font>
    <font>
      <name val="Arial"/>
      <b val="1"/>
      <color rgb="001F3864"/>
      <sz val="16"/>
    </font>
  </fonts>
  <fills count="6">
    <fill>
      <patternFill/>
    </fill>
    <fill>
      <patternFill patternType="gray125"/>
    </fill>
    <fill>
      <patternFill patternType="solid">
        <fgColor rgb="00FFFF00"/>
      </patternFill>
    </fill>
    <fill>
      <patternFill patternType="solid">
        <fgColor rgb="001F3864"/>
      </patternFill>
    </fill>
    <fill>
      <patternFill patternType="solid">
        <fgColor rgb="00FFF4E5"/>
      </patternFill>
    </fill>
    <fill>
      <patternFill patternType="solid">
        <fgColor rgb="00F3F5F8"/>
      </patternFill>
    </fill>
  </fills>
  <borders count="2">
    <border>
      <left/>
      <right/>
      <top/>
      <bottom/>
      <diagonal/>
    </border>
    <border>
      <left style="thin">
        <color rgb="00D0D5DC"/>
      </left>
      <right style="thin">
        <color rgb="00D0D5DC"/>
      </right>
      <top style="thin">
        <color rgb="00D0D5DC"/>
      </top>
      <bottom style="thin">
        <color rgb="00D0D5DC"/>
      </bottom>
    </border>
  </borders>
  <cellStyleXfs count="1">
    <xf numFmtId="0" fontId="0" fillId="0" borderId="0"/>
  </cellStyleXfs>
  <cellXfs count="7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9" fillId="5" borderId="0" applyAlignment="1" pivotButton="0" quotePrefix="0" xfId="0">
      <alignment horizontal="left" vertical="bottom" indent="1"/>
    </xf>
    <xf numFmtId="0" fontId="0" fillId="5" borderId="0" pivotButton="0" quotePrefix="0" xfId="0"/>
    <xf numFmtId="172" fontId="10" fillId="5" borderId="0" applyAlignment="1" pivotButton="0" quotePrefix="0" xfId="0">
      <alignment horizontal="left" vertical="center" indent="1"/>
    </xf>
    <xf numFmtId="165" fontId="10" fillId="5" borderId="0" applyAlignment="1" pivotButton="0" quotePrefix="0" xfId="0">
      <alignment horizontal="left" vertical="center" indent="1"/>
    </xf>
    <xf numFmtId="169" fontId="10" fillId="5" borderId="0" applyAlignment="1" pivotButton="0" quotePrefix="0" xfId="0">
      <alignment horizontal="left" vertical="center" indent="1"/>
    </xf>
    <xf numFmtId="164" fontId="10" fillId="5" borderId="0" applyAlignment="1" pivotButton="0" quotePrefix="0" xfId="0">
      <alignment horizontal="left" vertical="center" indent="1"/>
    </xf>
    <xf numFmtId="0" fontId="10" fillId="5" borderId="0" applyAlignment="1" pivotButton="0" quotePrefix="0" xfId="0">
      <alignment horizontal="left" vertical="center" indent="1"/>
    </xf>
    <xf numFmtId="0" fontId="3" fillId="0" borderId="0" pivotButton="0" quotePrefix="0" xfId="0"/>
    <xf numFmtId="172" fontId="4" fillId="0" borderId="0" pivotButton="0" quotePrefix="0" xfId="0"/>
    <xf numFmtId="172" fontId="3" fillId="0" borderId="0" pivotButton="0" quotePrefix="0" xfId="0"/>
    <xf numFmtId="1" fontId="4" fillId="0" borderId="0" pivotButton="0" quotePrefix="0" xfId="0"/>
    <xf numFmtId="0" fontId="7" fillId="3" borderId="1" applyAlignment="1" pivotButton="0" quotePrefix="0" xfId="0">
      <alignment horizontal="center" vertical="center" wrapText="1"/>
    </xf>
    <xf numFmtId="0" fontId="5" fillId="4" borderId="1" pivotButton="0" quotePrefix="0" xfId="0"/>
    <xf numFmtId="168" fontId="4" fillId="4" borderId="1" pivotButton="0" quotePrefix="0" xfId="0"/>
    <xf numFmtId="171" fontId="4" fillId="4" borderId="1" pivotButton="0" quotePrefix="0" xfId="0"/>
    <xf numFmtId="169" fontId="5" fillId="4" borderId="1" pivotButton="0" quotePrefix="0" xfId="0"/>
    <xf numFmtId="170" fontId="5" fillId="4" borderId="1" pivotButton="0" quotePrefix="0" xfId="0"/>
    <xf numFmtId="172" fontId="4" fillId="4" borderId="1" pivotButton="0" quotePrefix="0" xfId="0"/>
    <xf numFmtId="165" fontId="4" fillId="4" borderId="1" pivotButton="0" quotePrefix="0" xfId="0"/>
    <xf numFmtId="164" fontId="5" fillId="4" borderId="1" pivotButton="0" quotePrefix="0" xfId="0"/>
    <xf numFmtId="165" fontId="5" fillId="4" borderId="1" pivotButton="0" quotePrefix="0" xfId="0"/>
    <xf numFmtId="0" fontId="4" fillId="4" borderId="1" pivotButton="0" quotePrefix="0" xfId="0"/>
    <xf numFmtId="0" fontId="5" fillId="0" borderId="1" pivotButton="0" quotePrefix="0" xfId="0"/>
    <xf numFmtId="168" fontId="4" fillId="0" borderId="1" pivotButton="0" quotePrefix="0" xfId="0"/>
    <xf numFmtId="171" fontId="4" fillId="0" borderId="1" pivotButton="0" quotePrefix="0" xfId="0"/>
    <xf numFmtId="169" fontId="5" fillId="0" borderId="1" pivotButton="0" quotePrefix="0" xfId="0"/>
    <xf numFmtId="170" fontId="5" fillId="0" borderId="1" pivotButton="0" quotePrefix="0" xfId="0"/>
    <xf numFmtId="172" fontId="4" fillId="0" borderId="1" pivotButton="0" quotePrefix="0" xfId="0"/>
    <xf numFmtId="165" fontId="4" fillId="0" borderId="1" pivotButton="0" quotePrefix="0" xfId="0"/>
    <xf numFmtId="164" fontId="5" fillId="0" borderId="1" pivotButton="0" quotePrefix="0" xfId="0"/>
    <xf numFmtId="165" fontId="5" fillId="0" borderId="1" pivotButton="0" quotePrefix="0" xfId="0"/>
    <xf numFmtId="0" fontId="4" fillId="0" borderId="1" pivotButton="0" quotePrefix="0" xfId="0"/>
    <xf numFmtId="0" fontId="3" fillId="0" borderId="1" pivotButton="0" quotePrefix="0" xfId="0"/>
    <xf numFmtId="172" fontId="3" fillId="0" borderId="1" pivotButton="0" quotePrefix="0" xfId="0"/>
    <xf numFmtId="165" fontId="3" fillId="0" borderId="1" pivotButton="0" quotePrefix="0" xfId="0"/>
    <xf numFmtId="167" fontId="5" fillId="4" borderId="1" pivotButton="0" quotePrefix="0" xfId="0"/>
    <xf numFmtId="168" fontId="5" fillId="4" borderId="1" pivotButton="0" quotePrefix="0" xfId="0"/>
    <xf numFmtId="171" fontId="5" fillId="4" borderId="1" pivotButton="0" quotePrefix="0" xfId="0"/>
    <xf numFmtId="167" fontId="5" fillId="0" borderId="1" pivotButton="0" quotePrefix="0" xfId="0"/>
    <xf numFmtId="168" fontId="5" fillId="0" borderId="1" pivotButton="0" quotePrefix="0" xfId="0"/>
    <xf numFmtId="171" fontId="5" fillId="0" borderId="1" pivotButton="0" quotePrefix="0" xfId="0"/>
    <xf numFmtId="172" fontId="5" fillId="4" borderId="1" pivotButton="0" quotePrefix="0" xfId="0"/>
    <xf numFmtId="164" fontId="4" fillId="4" borderId="1" pivotButton="0" quotePrefix="0" xfId="0"/>
    <xf numFmtId="164" fontId="8" fillId="4" borderId="1" pivotButton="0" quotePrefix="0" xfId="0"/>
    <xf numFmtId="173" fontId="4" fillId="4" borderId="1" pivotButton="0" quotePrefix="0" xfId="0"/>
    <xf numFmtId="174" fontId="4" fillId="4" borderId="1" pivotButton="0" quotePrefix="0" xfId="0"/>
    <xf numFmtId="1" fontId="4" fillId="4" borderId="1" pivotButton="0" quotePrefix="0" xfId="0"/>
    <xf numFmtId="170" fontId="4" fillId="4" borderId="1" pivotButton="0" quotePrefix="0" xfId="0"/>
    <xf numFmtId="172" fontId="5" fillId="0" borderId="1" pivotButton="0" quotePrefix="0" xfId="0"/>
    <xf numFmtId="164" fontId="4" fillId="0" borderId="1" pivotButton="0" quotePrefix="0" xfId="0"/>
    <xf numFmtId="164" fontId="8" fillId="0" borderId="1" pivotButton="0" quotePrefix="0" xfId="0"/>
    <xf numFmtId="173" fontId="4" fillId="0" borderId="1" pivotButton="0" quotePrefix="0" xfId="0"/>
    <xf numFmtId="174" fontId="4" fillId="0" borderId="1" pivotButton="0" quotePrefix="0" xfId="0"/>
    <xf numFmtId="1" fontId="4" fillId="0" borderId="1" pivotButton="0" quotePrefix="0" xfId="0"/>
    <xf numFmtId="170" fontId="4" fillId="0" borderId="1" pivotButton="0" quotePrefix="0" xfId="0"/>
    <xf numFmtId="0" fontId="2" fillId="0" borderId="1" pivotButton="0" quotePrefix="0" xfId="0"/>
    <xf numFmtId="0" fontId="2" fillId="0" borderId="1" applyAlignment="1" pivotButton="0" quotePrefix="0" xfId="0">
      <alignment vertical="top" wrapText="1"/>
    </xf>
    <xf numFmtId="169" fontId="4" fillId="0" borderId="1" pivotButton="0" quotePrefix="0" xfId="0"/>
    <xf numFmtId="175" fontId="4" fillId="0" borderId="1" pivotButton="0" quotePrefix="0" xfId="0"/>
    <xf numFmtId="0" fontId="6" fillId="0" borderId="0" pivotButton="0" quotePrefix="0" xfId="0"/>
    <xf numFmtId="0" fontId="8" fillId="0" borderId="1" pivotButton="0" quotePrefix="0" xfId="0"/>
    <xf numFmtId="165" fontId="8" fillId="0" borderId="1" pivotButton="0" quotePrefix="0" xfId="0"/>
    <xf numFmtId="167" fontId="5" fillId="4" borderId="1" applyAlignment="1" pivotButton="0" quotePrefix="0" xfId="0">
      <alignment vertical="top" wrapText="1"/>
    </xf>
    <xf numFmtId="0" fontId="5" fillId="4" borderId="1" applyAlignment="1" pivotButton="0" quotePrefix="0" xfId="0">
      <alignment vertical="top" wrapText="1"/>
    </xf>
    <xf numFmtId="167" fontId="5" fillId="0" borderId="1" applyAlignment="1" pivotButton="0" quotePrefix="0" xfId="0">
      <alignment vertical="top" wrapText="1"/>
    </xf>
    <xf numFmtId="0" fontId="5" fillId="0" borderId="1" applyAlignment="1" pivotButton="0" quotePrefix="0" xfId="0">
      <alignment vertical="top" wrapText="1"/>
    </xf>
    <xf numFmtId="0" fontId="5" fillId="2" borderId="1" pivotButton="0" quotePrefix="0" xfId="0"/>
    <xf numFmtId="164" fontId="5" fillId="2" borderId="1" pivotButton="0" quotePrefix="0" xfId="0"/>
    <xf numFmtId="165" fontId="5" fillId="2" borderId="1" pivotButton="0" quotePrefix="0" xfId="0"/>
    <xf numFmtId="167" fontId="5" fillId="2" borderId="1" pivotButton="0" quotePrefix="0" xfId="0"/>
    <xf numFmtId="167" fontId="0" fillId="0" borderId="0" pivotButton="0" quotePrefix="0" xfId="0"/>
    <xf numFmtId="173" fontId="0" fillId="0" borderId="0" pivotButton="0" quotePrefix="0" xfId="0"/>
    <xf numFmtId="165" fontId="0" fillId="0" borderId="0" pivotButton="0" quotePrefix="0" xfId="0"/>
  </cellXfs>
  <cellStyles count="1">
    <cellStyle name="Normal" xfId="0" builtinId="0" hidden="0"/>
  </cellStyles>
  <dxfs count="3">
    <dxf>
      <font>
        <name val="Arial"/>
        <color rgb="00B3261E"/>
        <sz val="10"/>
      </font>
    </dxf>
    <dxf>
      <font>
        <name val="Arial"/>
        <color rgb="000B6B2F"/>
        <sz val="10"/>
      </font>
    </dxf>
    <dxf>
      <fill>
        <patternFill patternType="solid">
          <fgColor rgb="00FDE2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Growth of 100: portfolio vs benchmark</a:t>
            </a:r>
          </a:p>
        </rich>
      </tx>
    </title>
    <plotArea>
      <scatterChart>
        <ser>
          <idx val="0"/>
          <order val="0"/>
          <tx>
            <v>Portfolio</v>
          </tx>
          <spPr>
            <a:ln xmlns:a="http://schemas.openxmlformats.org/drawingml/2006/main">
              <a:prstDash val="solid"/>
            </a:ln>
          </spPr>
          <marker>
            <symbol val="none"/>
            <spPr>
              <a:ln xmlns:a="http://schemas.openxmlformats.org/drawingml/2006/main">
                <a:prstDash val="solid"/>
              </a:ln>
            </spPr>
          </marker>
          <xVal>
            <numRef>
              <f>'ChartData'!$A$4:$A$183</f>
            </numRef>
          </xVal>
          <yVal>
            <numRef>
              <f>'ChartData'!$B$4:$B$183</f>
            </numRef>
          </yVal>
          <smooth val="0"/>
        </ser>
        <ser>
          <idx val="1"/>
          <order val="1"/>
          <tx>
            <v>Benchmark</v>
          </tx>
          <spPr>
            <a:ln xmlns:a="http://schemas.openxmlformats.org/drawingml/2006/main">
              <a:prstDash val="solid"/>
            </a:ln>
          </spPr>
          <marker>
            <symbol val="none"/>
            <spPr>
              <a:ln xmlns:a="http://schemas.openxmlformats.org/drawingml/2006/main">
                <a:prstDash val="solid"/>
              </a:ln>
            </spPr>
          </marker>
          <xVal>
            <numRef>
              <f>'ChartData'!$A$4:$A$183</f>
            </numRef>
          </xVal>
          <yVal>
            <numRef>
              <f>'ChartData'!$C$4:$C$183</f>
            </numRef>
          </yVal>
          <smooth val="0"/>
        </ser>
        <axId val="10"/>
        <axId val="20"/>
      </scatterChart>
      <valAx>
        <axId val="10"/>
        <scaling>
          <orientation val="minMax"/>
        </scaling>
        <axPos val="l"/>
        <majorGridlines/>
        <numFmt formatCode="mmm yy" sourceLinked="0"/>
        <majorTickMark val="none"/>
        <minorTickMark val="none"/>
        <crossAx val="20"/>
      </valAx>
      <valAx>
        <axId val="2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Drawdown</a:t>
            </a:r>
          </a:p>
        </rich>
      </tx>
    </title>
    <plotArea>
      <scatterChart>
        <ser>
          <idx val="0"/>
          <order val="0"/>
          <tx>
            <v>Portfolio</v>
          </tx>
          <spPr>
            <a:ln xmlns:a="http://schemas.openxmlformats.org/drawingml/2006/main">
              <a:prstDash val="solid"/>
            </a:ln>
          </spPr>
          <marker>
            <symbol val="none"/>
            <spPr>
              <a:ln xmlns:a="http://schemas.openxmlformats.org/drawingml/2006/main">
                <a:prstDash val="solid"/>
              </a:ln>
            </spPr>
          </marker>
          <xVal>
            <numRef>
              <f>'ChartData'!$A$4:$A$183</f>
            </numRef>
          </xVal>
          <yVal>
            <numRef>
              <f>'ChartData'!$D$4:$D$183</f>
            </numRef>
          </yVal>
          <smooth val="0"/>
        </ser>
        <ser>
          <idx val="1"/>
          <order val="1"/>
          <tx>
            <v>Benchmark</v>
          </tx>
          <spPr>
            <a:ln xmlns:a="http://schemas.openxmlformats.org/drawingml/2006/main">
              <a:prstDash val="solid"/>
            </a:ln>
          </spPr>
          <marker>
            <symbol val="none"/>
            <spPr>
              <a:ln xmlns:a="http://schemas.openxmlformats.org/drawingml/2006/main">
                <a:prstDash val="solid"/>
              </a:ln>
            </spPr>
          </marker>
          <xVal>
            <numRef>
              <f>'ChartData'!$A$4:$A$183</f>
            </numRef>
          </xVal>
          <yVal>
            <numRef>
              <f>'ChartData'!$E$4:$E$183</f>
            </numRef>
          </yVal>
          <smooth val="0"/>
        </ser>
        <axId val="10"/>
        <axId val="20"/>
      </scatterChart>
      <valAx>
        <axId val="10"/>
        <scaling>
          <orientation val="minMax"/>
        </scaling>
        <axPos val="l"/>
        <majorGridlines/>
        <numFmt formatCode="mmm yy" sourceLinked="0"/>
        <majorTickMark val="none"/>
        <minorTickMark val="none"/>
        <crossAx val="20"/>
      </valAx>
      <valAx>
        <axId val="2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Monthly returns, last 24 months</a:t>
            </a:r>
          </a:p>
        </rich>
      </tx>
    </title>
    <plotArea>
      <barChart>
        <barDir val="col"/>
        <grouping val="clustered"/>
        <ser>
          <idx val="0"/>
          <order val="0"/>
          <spPr>
            <a:ln xmlns:a="http://schemas.openxmlformats.org/drawingml/2006/main">
              <a:prstDash val="solid"/>
            </a:ln>
          </spPr>
          <cat>
            <numRef>
              <f>'ChartData'!$K$4:$K$27</f>
            </numRef>
          </cat>
          <val>
            <numRef>
              <f>'ChartData'!$L$4:$L$27</f>
            </numRef>
          </val>
        </ser>
        <gapWidth val="150"/>
        <axId val="10"/>
        <axId val="100"/>
      </barChart>
      <catAx>
        <axId val="10"/>
        <scaling>
          <orientation val="minMax"/>
        </scaling>
        <axPos val="l"/>
        <majorTickMark val="none"/>
        <minorTickMark val="none"/>
        <tickLblPos val="low"/>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Allocation by strategy</a:t>
            </a:r>
          </a:p>
        </rich>
      </tx>
    </title>
    <plotArea>
      <pieChart>
        <varyColors val="1"/>
        <ser>
          <idx val="0"/>
          <order val="0"/>
          <spPr>
            <a:ln xmlns:a="http://schemas.openxmlformats.org/drawingml/2006/main">
              <a:prstDash val="solid"/>
            </a:ln>
          </spPr>
          <cat>
            <numRef>
              <f>'Allocation'!$A$16:$A$18</f>
            </numRef>
          </cat>
          <val>
            <numRef>
              <f>'Allocation'!$B$16:$B$18</f>
            </numRef>
          </val>
        </ser>
        <dLbls>
          <showPercent val="1"/>
        </dLbls>
        <firstSliceAng val="0"/>
      </pieChart>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Top holdings by weight</a:t>
            </a:r>
          </a:p>
        </rich>
      </tx>
    </title>
    <plotArea>
      <barChart>
        <barDir val="bar"/>
        <grouping val="clustered"/>
        <ser>
          <idx val="0"/>
          <order val="0"/>
          <spPr>
            <a:ln xmlns:a="http://schemas.openxmlformats.org/drawingml/2006/main">
              <a:prstDash val="solid"/>
            </a:ln>
          </spPr>
          <cat>
            <numRef>
              <f>'ChartData'!$H$4:$H$13</f>
            </numRef>
          </cat>
          <val>
            <numRef>
              <f>'ChartData'!$I$4:$I$13</f>
            </numRef>
          </val>
        </ser>
        <gapWidth val="150"/>
        <axId val="10"/>
        <axId val="100"/>
      </barChart>
      <catAx>
        <axId val="10"/>
        <scaling>
          <orientation val="minMax"/>
        </scaling>
        <axPos val="l"/>
        <numFmt formatCode="0%" sourceLinked="0"/>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Asset classes</a:t>
            </a:r>
          </a:p>
        </rich>
      </tx>
    </title>
    <plotArea>
      <pieChart>
        <varyColors val="1"/>
        <ser>
          <idx val="0"/>
          <order val="0"/>
          <spPr>
            <a:ln xmlns:a="http://schemas.openxmlformats.org/drawingml/2006/main">
              <a:prstDash val="solid"/>
            </a:ln>
          </spPr>
          <cat>
            <numRef>
              <f>'Allocation'!$A$6:$A$11</f>
            </numRef>
          </cat>
          <val>
            <numRef>
              <f>'Allocation'!$B$6:$B$11</f>
            </numRef>
          </val>
        </ser>
        <dLbls>
          <showPercent val="1"/>
        </dLbls>
        <firstSliceAng val="0"/>
      </pieChart>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Strategy: actual vs target</a:t>
            </a:r>
          </a:p>
        </rich>
      </tx>
    </title>
    <plotArea>
      <barChart>
        <barDir val="col"/>
        <grouping val="clustered"/>
        <ser>
          <idx val="0"/>
          <order val="0"/>
          <tx>
            <strRef>
              <f>'Allocation'!C15</f>
            </strRef>
          </tx>
          <spPr>
            <a:ln xmlns:a="http://schemas.openxmlformats.org/drawingml/2006/main">
              <a:prstDash val="solid"/>
            </a:ln>
          </spPr>
          <cat>
            <numRef>
              <f>'Allocation'!$A$16:$A$18</f>
            </numRef>
          </cat>
          <val>
            <numRef>
              <f>'Allocation'!$C$16:$C$18</f>
            </numRef>
          </val>
        </ser>
        <ser>
          <idx val="1"/>
          <order val="1"/>
          <tx>
            <strRef>
              <f>'Allocation'!D15</f>
            </strRef>
          </tx>
          <spPr>
            <a:ln xmlns:a="http://schemas.openxmlformats.org/drawingml/2006/main">
              <a:prstDash val="solid"/>
            </a:ln>
          </spPr>
          <cat>
            <numRef>
              <f>'Allocation'!$A$16:$A$18</f>
            </numRef>
          </cat>
          <val>
            <numRef>
              <f>'Allocation'!$D$16:$D$18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Currency exposure</a:t>
            </a:r>
          </a:p>
        </rich>
      </tx>
    </title>
    <plotArea>
      <barChart>
        <barDir val="bar"/>
        <grouping val="clustered"/>
        <ser>
          <idx val="0"/>
          <order val="0"/>
          <spPr>
            <a:ln xmlns:a="http://schemas.openxmlformats.org/drawingml/2006/main">
              <a:prstDash val="solid"/>
            </a:ln>
          </spPr>
          <cat>
            <numRef>
              <f>'Allocation'!$A$33:$A$37</f>
            </numRef>
          </cat>
          <val>
            <numRef>
              <f>'Allocation'!$C$33:$C$37</f>
            </numRef>
          </val>
        </ser>
        <gapWidth val="150"/>
        <axId val="10"/>
        <axId val="100"/>
      </barChart>
      <catAx>
        <axId val="10"/>
        <scaling>
          <orientation val="minMax"/>
        </scaling>
        <axPos val="l"/>
        <numFmt formatCode="0%" sourceLinked="0"/>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s>
</file>

<file path=xl/drawings/drawing1.xml><?xml version="1.0" encoding="utf-8"?>
<wsDr xmlns="http://schemas.openxmlformats.org/drawingml/2006/spreadsheetDrawing">
  <oneCellAnchor>
    <from>
      <col>1</col>
      <colOff>0</colOff>
      <row>14</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14</row>
      <rowOff>0</rowOff>
    </from>
    <ext cx="61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31</row>
      <rowOff>0</rowOff>
    </from>
    <ext cx="61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31</row>
      <rowOff>0</rowOff>
    </from>
    <ext cx="612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48</row>
      <rowOff>0</rowOff>
    </from>
    <ext cx="612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6</col>
      <colOff>0</colOff>
      <row>3</row>
      <rowOff>0</rowOff>
    </from>
    <ext cx="39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19</row>
      <rowOff>0</rowOff>
    </from>
    <ext cx="39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35</row>
      <rowOff>0</rowOff>
    </from>
    <ext cx="39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8A919C"/>
    <outlinePr summaryBelow="1" summaryRight="1"/>
    <pageSetUpPr/>
  </sheetPr>
  <dimension ref="A1:C15"/>
  <sheetViews>
    <sheetView showGridLines="0" workbookViewId="0">
      <selection activeCell="A1" sqref="A1"/>
    </sheetView>
  </sheetViews>
  <sheetFormatPr baseColWidth="8" defaultRowHeight="15"/>
  <cols>
    <col width="4" customWidth="1" min="1" max="1"/>
    <col width="30" customWidth="1" min="2" max="2"/>
    <col width="100" customWidth="1" min="3" max="3"/>
  </cols>
  <sheetData>
    <row r="1">
      <c r="A1" s="1" t="inlineStr">
        <is>
          <t>Portfolio Tracker</t>
        </is>
      </c>
    </row>
    <row r="2">
      <c r="A2" s="2" t="inlineStr">
        <is>
          <t>Manual version · Strategies Lab · base currency EUR</t>
        </is>
      </c>
    </row>
    <row r="4" ht="46" customHeight="1">
      <c r="B4" s="3" t="inlineStr">
        <is>
          <t>What it does</t>
        </is>
      </c>
      <c r="C4" s="4" t="inlineStr">
        <is>
          <t>Tracks a multi-asset portfolio in EUR: positions and P&amp;L, allocation vs targets, monthly performance vs a benchmark, risk metrics (volatility, drawdown, VaR, Expected Shortfall, beta, tracking error) and a decision journal.</t>
        </is>
      </c>
    </row>
    <row r="5" ht="46" customHeight="1">
      <c r="B5" s="3" t="inlineStr">
        <is>
          <t>Colour code</t>
        </is>
      </c>
      <c r="C5" s="4" t="inlineStr">
        <is>
          <t>Blue text = input you type. Black text = formula, do not overwrite. Green text = link to another sheet. Yellow fill = key setting. Light orange rows = example data to replace.</t>
        </is>
      </c>
    </row>
    <row r="6" ht="32" customHeight="1">
      <c r="B6" s="3" t="inlineStr">
        <is>
          <t>1 · Settings</t>
        </is>
      </c>
      <c r="C6" s="4" t="inlineStr">
        <is>
          <t>Set the portfolio name, benchmark, risk-free rate, VaR confidence level, rebalancing threshold and target weight per strategy.</t>
        </is>
      </c>
    </row>
    <row r="7" ht="32" customHeight="1">
      <c r="B7" s="3" t="inlineStr">
        <is>
          <t>2 · Transactions</t>
        </is>
      </c>
      <c r="C7" s="4" t="inlineStr">
        <is>
          <t>Log every deposit, withdrawal, buy, sell, dividend and fee, one row each. Quantities and cash are derived from this sheet only.</t>
        </is>
      </c>
    </row>
    <row r="8" ht="46" customHeight="1">
      <c r="B8" s="3" t="inlineStr">
        <is>
          <t>3 · Holdings</t>
        </is>
      </c>
      <c r="C8" s="4" t="inlineStr">
        <is>
          <t>List each instrument once (ticker in column A). Quantity, cost, value, weight, P&amp;L and the rebalancing action are calculated. Type the name, quote currency, last price and FX rate (units of currency per 1 EUR).</t>
        </is>
      </c>
    </row>
    <row r="9" ht="46" customHeight="1">
      <c r="B9" s="3" t="inlineStr">
        <is>
          <t>4 · History</t>
        </is>
      </c>
      <c r="C9" s="4" t="inlineStr">
        <is>
          <t>At each month end, type the date and the portfolio's total value (Dashboard, cell B6). External flows come from Transactions; returns use the Modified Dietz method. Type the benchmark level at the same date.</t>
        </is>
      </c>
    </row>
    <row r="10" ht="46" customHeight="1">
      <c r="B10" s="3" t="inlineStr">
        <is>
          <t>5 · Read</t>
        </is>
      </c>
      <c r="C10" s="4" t="inlineStr">
        <is>
          <t>Dashboard: summary and charts. Risk: every ratio with what it means. Allocation: actual vs target by asset class, strategy, region and currency. Journal: decisions and reasons.</t>
        </is>
      </c>
    </row>
    <row r="11" ht="46" customHeight="1">
      <c r="B11" s="3" t="inlineStr">
        <is>
          <t>Monthly routine</t>
        </is>
      </c>
      <c r="C11" s="4" t="inlineStr">
        <is>
          <t>1) Log the month's transactions. 2) Refresh prices (type last prices and FX). 3) Copy the total value into History. 4) Check the Action column in Holdings and the deviations in Allocation. 5) Write one line in the Journal.</t>
        </is>
      </c>
    </row>
    <row r="12" ht="46" customHeight="1">
      <c r="B12" s="3" t="inlineStr">
        <is>
          <t>Method notes</t>
        </is>
      </c>
      <c r="C12" s="4" t="inlineStr">
        <is>
          <t>Monthly return (Modified Dietz) = (V_end − V_start − Flow) / (V_start + 0.5 × Flow). Annualised volatility = monthly standard deviation × √12. Sharpe = mean monthly excess return × 12 / annualised volatility. Historical VaR = loss not exceeded in (confidence)% of months; ES = average loss beyond the VaR. Risk metrics need at least 12 months of history to be meaningful.</t>
        </is>
      </c>
    </row>
    <row r="13" ht="46" customHeight="1">
      <c r="B13" s="3" t="inlineStr">
        <is>
          <t>Limitations</t>
        </is>
      </c>
      <c r="C13" s="4" t="inlineStr">
        <is>
          <t>Average cost uses buys only (realised P&amp;L on sells is not tracked separately). FX for cost is the rate typed on each transaction. Monthly data understate intra-month drawdowns.</t>
        </is>
      </c>
    </row>
    <row r="15">
      <c r="B15" s="2" t="inlineStr">
        <is>
          <t>This workbook is a tool, not investment advice. Example figures are illustrative only.</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M13"/>
  <sheetViews>
    <sheetView showGridLines="0" workbookViewId="0">
      <selection activeCell="A1" sqref="A1"/>
    </sheetView>
  </sheetViews>
  <sheetFormatPr baseColWidth="8" defaultRowHeight="15"/>
  <cols>
    <col width="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f>Settings!B4</f>
        <v/>
      </c>
    </row>
    <row r="2">
      <c r="A2" s="2" t="inlineStr">
        <is>
          <t>Summary of value, performance, risk and allocation. All figures update from the other sheets.</t>
        </is>
      </c>
    </row>
    <row r="3">
      <c r="A3" s="2">
        <f>"As of "&amp;TEXT(IFERROR(LOOKUP(9.99E+307,History!$A$6:$A$185),TODAY()),"dd mmm yyyy")&amp;" · benchmark: "&amp;Settings!B6</f>
        <v/>
      </c>
    </row>
    <row r="5">
      <c r="B5" s="5" t="inlineStr">
        <is>
          <t>Total value</t>
        </is>
      </c>
      <c r="C5" s="6" t="n"/>
      <c r="D5" s="5" t="inlineStr">
        <is>
          <t>Net deposits</t>
        </is>
      </c>
      <c r="E5" s="6" t="n"/>
      <c r="F5" s="5" t="inlineStr">
        <is>
          <t>Gain since inception</t>
        </is>
      </c>
      <c r="G5" s="6" t="n"/>
      <c r="H5" s="5" t="inlineStr">
        <is>
          <t>Total return (TWR)</t>
        </is>
      </c>
      <c r="I5" s="6" t="n"/>
      <c r="J5" s="5" t="inlineStr">
        <is>
          <t>Year to date</t>
        </is>
      </c>
      <c r="K5" s="6" t="n"/>
      <c r="L5" s="5" t="inlineStr">
        <is>
          <t>Annualised return</t>
        </is>
      </c>
      <c r="M5" s="6" t="n"/>
    </row>
    <row r="6">
      <c r="B6" s="7">
        <f>Holdings!B5</f>
        <v/>
      </c>
      <c r="C6" s="6" t="n"/>
      <c r="D6" s="7">
        <f>SUMIFS(Transactions!$J$6:$J$505,Transactions!$B$6:$B$505,"Deposit")-SUMIFS(Transactions!$J$6:$J$505,Transactions!$B$6:$B$505,"Withdrawal")</f>
        <v/>
      </c>
      <c r="E6" s="6" t="n"/>
      <c r="F6" s="7">
        <f>B6-D6</f>
        <v/>
      </c>
      <c r="G6" s="6" t="n"/>
      <c r="H6" s="8">
        <f>Risk!B6</f>
        <v/>
      </c>
      <c r="I6" s="6" t="n"/>
      <c r="J6" s="8">
        <f>Risk!B8</f>
        <v/>
      </c>
      <c r="K6" s="6" t="n"/>
      <c r="L6" s="8">
        <f>Risk!B7</f>
        <v/>
      </c>
      <c r="M6" s="6" t="n"/>
    </row>
    <row r="7">
      <c r="B7" s="6" t="n"/>
      <c r="C7" s="6" t="n"/>
      <c r="D7" s="6" t="n"/>
      <c r="E7" s="6" t="n"/>
      <c r="F7" s="6" t="n"/>
      <c r="G7" s="6" t="n"/>
      <c r="H7" s="6" t="n"/>
      <c r="I7" s="6" t="n"/>
      <c r="J7" s="6" t="n"/>
      <c r="K7" s="6" t="n"/>
      <c r="L7" s="6" t="n"/>
      <c r="M7" s="6" t="n"/>
    </row>
    <row r="9">
      <c r="B9" s="5" t="inlineStr">
        <is>
          <t>Volatility (ann.)</t>
        </is>
      </c>
      <c r="C9" s="6" t="n"/>
      <c r="D9" s="5" t="inlineStr">
        <is>
          <t>Sharpe ratio</t>
        </is>
      </c>
      <c r="E9" s="6" t="n"/>
      <c r="F9" s="5" t="inlineStr">
        <is>
          <t>Max drawdown</t>
        </is>
      </c>
      <c r="G9" s="6" t="n"/>
      <c r="H9" s="5" t="inlineStr">
        <is>
          <t>VaR monthly</t>
        </is>
      </c>
      <c r="I9" s="6" t="n"/>
      <c r="J9" s="5" t="inlineStr">
        <is>
          <t>Beta vs benchmark</t>
        </is>
      </c>
      <c r="K9" s="6" t="n"/>
      <c r="L9" s="5" t="inlineStr">
        <is>
          <t>Positions / cash</t>
        </is>
      </c>
      <c r="M9" s="6" t="n"/>
    </row>
    <row r="10">
      <c r="B10" s="8">
        <f>Risk!B9</f>
        <v/>
      </c>
      <c r="C10" s="6" t="n"/>
      <c r="D10" s="9">
        <f>Risk!B10</f>
        <v/>
      </c>
      <c r="E10" s="6" t="n"/>
      <c r="F10" s="8">
        <f>Risk!B12</f>
        <v/>
      </c>
      <c r="G10" s="6" t="n"/>
      <c r="H10" s="10">
        <f>Risk!B15</f>
        <v/>
      </c>
      <c r="I10" s="6" t="n"/>
      <c r="J10" s="9">
        <f>Risk!B20</f>
        <v/>
      </c>
      <c r="K10" s="6" t="n"/>
      <c r="L10" s="11">
        <f>TEXT(Holdings!B6,"0")&amp;" / "&amp;TEXT(Risk!B35,"0%")</f>
        <v/>
      </c>
      <c r="M10" s="6" t="n"/>
    </row>
    <row r="11">
      <c r="B11" s="6" t="n"/>
      <c r="C11" s="6" t="n"/>
      <c r="D11" s="6" t="n"/>
      <c r="E11" s="6" t="n"/>
      <c r="F11" s="6" t="n"/>
      <c r="G11" s="6" t="n"/>
      <c r="H11" s="6" t="n"/>
      <c r="I11" s="6" t="n"/>
      <c r="J11" s="6" t="n"/>
      <c r="K11" s="6" t="n"/>
      <c r="L11" s="6" t="n"/>
      <c r="M11" s="6" t="n"/>
    </row>
    <row r="13">
      <c r="B13" s="2" t="inlineStr">
        <is>
          <t>Charts: portfolio vs benchmark, drawdown, monthly returns, allocation and top holdings. Risk details in the Risk sheet.</t>
        </is>
      </c>
    </row>
  </sheetData>
  <mergeCells count="24">
    <mergeCell ref="J5:K5"/>
    <mergeCell ref="L10:M11"/>
    <mergeCell ref="B10:C11"/>
    <mergeCell ref="B6:C7"/>
    <mergeCell ref="H9:I9"/>
    <mergeCell ref="J9:K9"/>
    <mergeCell ref="L6:M7"/>
    <mergeCell ref="F5:G5"/>
    <mergeCell ref="L5:M5"/>
    <mergeCell ref="D10:E11"/>
    <mergeCell ref="F10:G11"/>
    <mergeCell ref="H10:I11"/>
    <mergeCell ref="J10:K11"/>
    <mergeCell ref="D6:E7"/>
    <mergeCell ref="F6:G7"/>
    <mergeCell ref="B9:C9"/>
    <mergeCell ref="D9:E9"/>
    <mergeCell ref="F9:G9"/>
    <mergeCell ref="L9:M9"/>
    <mergeCell ref="H6:I7"/>
    <mergeCell ref="B5:C5"/>
    <mergeCell ref="J6:K7"/>
    <mergeCell ref="D5:E5"/>
    <mergeCell ref="H5:I5"/>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2A78D6"/>
    <outlinePr summaryBelow="1" summaryRight="1"/>
    <pageSetUpPr/>
  </sheetPr>
  <dimension ref="A1:U49"/>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3" customWidth="1" min="3" max="3"/>
    <col width="18" customWidth="1" min="4" max="4"/>
    <col width="15" customWidth="1" min="5" max="5"/>
    <col width="10" customWidth="1" min="6" max="6"/>
    <col width="10" customWidth="1" min="7" max="7"/>
    <col width="13" customWidth="1" min="8" max="8"/>
    <col width="13" customWidth="1" min="9" max="9"/>
    <col width="11" customWidth="1" min="10" max="10"/>
    <col width="15" customWidth="1" min="11" max="11"/>
    <col width="9" customWidth="1" min="12" max="12"/>
    <col width="14" customWidth="1" min="13" max="13"/>
    <col width="14" customWidth="1" min="14" max="14"/>
    <col width="9" customWidth="1" min="15" max="15"/>
    <col width="9" customWidth="1" min="16" max="16"/>
    <col width="9" customWidth="1" min="17" max="17"/>
    <col width="10" customWidth="1" min="18" max="18"/>
    <col width="10" customWidth="1" min="19" max="19"/>
    <col width="24" customWidth="1" min="20" max="20"/>
    <col width="30" customWidth="1" min="21" max="21"/>
  </cols>
  <sheetData>
    <row r="1">
      <c r="A1" s="1" t="inlineStr">
        <is>
          <t>Holdings</t>
        </is>
      </c>
    </row>
    <row r="2">
      <c r="A2" s="2" t="inlineStr">
        <is>
          <t>One row per instrument. Type the ticker, classification and target weight; the rest is calculated from Transactions and the prices you type.</t>
        </is>
      </c>
    </row>
    <row r="3">
      <c r="A3" s="12" t="inlineStr">
        <is>
          <t>Invested value</t>
        </is>
      </c>
      <c r="B3" s="13">
        <f>SUM(K8:K47)</f>
        <v/>
      </c>
      <c r="D3" s="2" t="inlineStr">
        <is>
          <t>Rows with a ticker but zero quantity are kept and shown as closed.</t>
        </is>
      </c>
    </row>
    <row r="4">
      <c r="A4" s="12" t="inlineStr">
        <is>
          <t>Cash (from Transactions)</t>
        </is>
      </c>
      <c r="B4" s="13">
        <f>SUM(Transactions!$K$6:$K$505)</f>
        <v/>
      </c>
    </row>
    <row r="5">
      <c r="A5" s="12" t="inlineStr">
        <is>
          <t>Total portfolio value</t>
        </is>
      </c>
      <c r="B5" s="14">
        <f>B3+B4</f>
        <v/>
      </c>
    </row>
    <row r="6">
      <c r="A6" s="12" t="inlineStr">
        <is>
          <t>Number of positions</t>
        </is>
      </c>
      <c r="B6" s="15">
        <f>COUNTIF(G8:G47,"&gt;0")</f>
        <v/>
      </c>
    </row>
    <row r="7" ht="32" customHeight="1">
      <c r="A7" s="16" t="inlineStr">
        <is>
          <t>Ticker</t>
        </is>
      </c>
      <c r="B7" s="16" t="inlineStr">
        <is>
          <t>Name</t>
        </is>
      </c>
      <c r="C7" s="16" t="inlineStr">
        <is>
          <t>Asset class</t>
        </is>
      </c>
      <c r="D7" s="16" t="inlineStr">
        <is>
          <t>Strategy</t>
        </is>
      </c>
      <c r="E7" s="16" t="inlineStr">
        <is>
          <t>Region</t>
        </is>
      </c>
      <c r="F7" s="16" t="inlineStr">
        <is>
          <t>Quote currency</t>
        </is>
      </c>
      <c r="G7" s="16" t="inlineStr">
        <is>
          <t>Quantity</t>
        </is>
      </c>
      <c r="H7" s="16" t="inlineStr">
        <is>
          <t>Avg cost (EUR / unit)</t>
        </is>
      </c>
      <c r="I7" s="16" t="inlineStr">
        <is>
          <t>Last price (quote ccy)</t>
        </is>
      </c>
      <c r="J7" s="16" t="inlineStr">
        <is>
          <t>FX (ccy per 1 EUR)</t>
        </is>
      </c>
      <c r="K7" s="16" t="inlineStr">
        <is>
          <t>Market value (EUR)</t>
        </is>
      </c>
      <c r="L7" s="16" t="inlineStr">
        <is>
          <t>Weight</t>
        </is>
      </c>
      <c r="M7" s="16" t="inlineStr">
        <is>
          <t>Cost basis (EUR)</t>
        </is>
      </c>
      <c r="N7" s="16" t="inlineStr">
        <is>
          <t>Unrealised P&amp;L (EUR)</t>
        </is>
      </c>
      <c r="O7" s="16" t="inlineStr">
        <is>
          <t>P&amp;L %</t>
        </is>
      </c>
      <c r="P7" s="16" t="inlineStr">
        <is>
          <t>1-day change</t>
        </is>
      </c>
      <c r="Q7" s="16" t="inlineStr">
        <is>
          <t>YTD change</t>
        </is>
      </c>
      <c r="R7" s="16" t="inlineStr">
        <is>
          <t>Target weight</t>
        </is>
      </c>
      <c r="S7" s="16" t="inlineStr">
        <is>
          <t>Deviation</t>
        </is>
      </c>
      <c r="T7" s="16" t="inlineStr">
        <is>
          <t>Action</t>
        </is>
      </c>
      <c r="U7" s="16" t="inlineStr">
        <is>
          <t>Comment</t>
        </is>
      </c>
    </row>
    <row r="8">
      <c r="A8" s="17" t="inlineStr">
        <is>
          <t>IWDA LN Equity</t>
        </is>
      </c>
      <c r="B8" s="17" t="inlineStr">
        <is>
          <t>iShares Core MSCI World UCITS ETF (Acc)</t>
        </is>
      </c>
      <c r="C8" s="17" t="inlineStr">
        <is>
          <t>Equity</t>
        </is>
      </c>
      <c r="D8" s="17" t="inlineStr">
        <is>
          <t>Value strategy</t>
        </is>
      </c>
      <c r="E8" s="17" t="inlineStr">
        <is>
          <t>Global</t>
        </is>
      </c>
      <c r="F8" s="17" t="inlineStr">
        <is>
          <t>USD</t>
        </is>
      </c>
      <c r="G8" s="18">
        <f>IF(A8="","",SUMIFS(Transactions!$D$6:$D$505,Transactions!$C$6:$C$505,A8,Transactions!$B$6:$B$505,"Buy")-SUMIFS(Transactions!$D$6:$D$505,Transactions!$C$6:$C$505,A8,Transactions!$B$6:$B$505,"Sell"))</f>
        <v/>
      </c>
      <c r="H8" s="19">
        <f>IF(A8="","",IFERROR((SUMIFS(Transactions!$I$6:$I$505,Transactions!$C$6:$C$505,A8,Transactions!$B$6:$B$505,"Buy")+SUMIFS(Transactions!$H$6:$H$505,Transactions!$C$6:$C$505,A8,Transactions!$B$6:$B$505,"Buy"))/SUMIFS(Transactions!$D$6:$D$505,Transactions!$C$6:$C$505,A8,Transactions!$B$6:$B$505,"Buy"),0))</f>
        <v/>
      </c>
      <c r="I8" s="20" t="n">
        <v>112.4</v>
      </c>
      <c r="J8" s="21" t="n">
        <v>1.133</v>
      </c>
      <c r="K8" s="22">
        <f>IF(A8="","",IFERROR(G8*I8*IF(EXACT(F8,"GBp"),0.01,1)/J8,0))</f>
        <v/>
      </c>
      <c r="L8" s="23">
        <f>IF(A8="","",IFERROR(K8/$B$5,0))</f>
        <v/>
      </c>
      <c r="M8" s="22">
        <f>IF(A8="","",G8*H8)</f>
        <v/>
      </c>
      <c r="N8" s="22">
        <f>IF(A8="","",K8-M8)</f>
        <v/>
      </c>
      <c r="O8" s="23">
        <f>IF(A8="","",IFERROR(N8/M8,0))</f>
        <v/>
      </c>
      <c r="P8" s="24" t="n"/>
      <c r="Q8" s="25" t="n"/>
      <c r="R8" s="25" t="n">
        <v>0.4</v>
      </c>
      <c r="S8" s="23">
        <f>IF(A8="","",L8-R8)</f>
        <v/>
      </c>
      <c r="T8" s="26">
        <f>IF(A8="","",IF(ABS(S8)&lt;=Settings!$B$10,"OK",IF(S8&gt;0,"Sell ","Buy ")&amp;TEXT(ABS(S8)*$B$5,"#,##0")&amp;" €"))</f>
        <v/>
      </c>
      <c r="U8" s="17" t="inlineStr">
        <is>
          <t>Example — replace</t>
        </is>
      </c>
    </row>
    <row r="9">
      <c r="A9" s="17" t="inlineStr">
        <is>
          <t>EXS1 GY Equity</t>
        </is>
      </c>
      <c r="B9" s="17" t="inlineStr">
        <is>
          <t>iShares Core DAX UCITS ETF (DE)</t>
        </is>
      </c>
      <c r="C9" s="17" t="inlineStr">
        <is>
          <t>Equity</t>
        </is>
      </c>
      <c r="D9" s="17" t="inlineStr">
        <is>
          <t>Value strategy</t>
        </is>
      </c>
      <c r="E9" s="17" t="inlineStr">
        <is>
          <t>Europe</t>
        </is>
      </c>
      <c r="F9" s="17" t="inlineStr">
        <is>
          <t>EUR</t>
        </is>
      </c>
      <c r="G9" s="18">
        <f>IF(A9="","",SUMIFS(Transactions!$D$6:$D$505,Transactions!$C$6:$C$505,A9,Transactions!$B$6:$B$505,"Buy")-SUMIFS(Transactions!$D$6:$D$505,Transactions!$C$6:$C$505,A9,Transactions!$B$6:$B$505,"Sell"))</f>
        <v/>
      </c>
      <c r="H9" s="19">
        <f>IF(A9="","",IFERROR((SUMIFS(Transactions!$I$6:$I$505,Transactions!$C$6:$C$505,A9,Transactions!$B$6:$B$505,"Buy")+SUMIFS(Transactions!$H$6:$H$505,Transactions!$C$6:$C$505,A9,Transactions!$B$6:$B$505,"Buy"))/SUMIFS(Transactions!$D$6:$D$505,Transactions!$C$6:$C$505,A9,Transactions!$B$6:$B$505,"Buy"),0))</f>
        <v/>
      </c>
      <c r="I9" s="20" t="n">
        <v>205.1</v>
      </c>
      <c r="J9" s="21" t="n">
        <v>1</v>
      </c>
      <c r="K9" s="22">
        <f>IF(A9="","",IFERROR(G9*I9*IF(EXACT(F9,"GBp"),0.01,1)/J9,0))</f>
        <v/>
      </c>
      <c r="L9" s="23">
        <f>IF(A9="","",IFERROR(K9/$B$5,0))</f>
        <v/>
      </c>
      <c r="M9" s="22">
        <f>IF(A9="","",G9*H9)</f>
        <v/>
      </c>
      <c r="N9" s="22">
        <f>IF(A9="","",K9-M9)</f>
        <v/>
      </c>
      <c r="O9" s="23">
        <f>IF(A9="","",IFERROR(N9/M9,0))</f>
        <v/>
      </c>
      <c r="P9" s="24" t="n"/>
      <c r="Q9" s="25" t="n"/>
      <c r="R9" s="25" t="n">
        <v>0.16</v>
      </c>
      <c r="S9" s="23">
        <f>IF(A9="","",L9-R9)</f>
        <v/>
      </c>
      <c r="T9" s="26">
        <f>IF(A9="","",IF(ABS(S9)&lt;=Settings!$B$10,"OK",IF(S9&gt;0,"Sell ","Buy ")&amp;TEXT(ABS(S9)*$B$5,"#,##0")&amp;" €"))</f>
        <v/>
      </c>
      <c r="U9" s="17" t="inlineStr">
        <is>
          <t>Example — replace</t>
        </is>
      </c>
    </row>
    <row r="10">
      <c r="A10" s="17" t="inlineStr">
        <is>
          <t>SGLN LN Equity</t>
        </is>
      </c>
      <c r="B10" s="17" t="inlineStr">
        <is>
          <t>iShares Physical Gold ETC</t>
        </is>
      </c>
      <c r="C10" s="17" t="inlineStr">
        <is>
          <t>Commodity</t>
        </is>
      </c>
      <c r="D10" s="17" t="inlineStr">
        <is>
          <t>Trend ETF</t>
        </is>
      </c>
      <c r="E10" s="17" t="inlineStr">
        <is>
          <t>Global</t>
        </is>
      </c>
      <c r="F10" s="17" t="inlineStr">
        <is>
          <t>GBp</t>
        </is>
      </c>
      <c r="G10" s="18">
        <f>IF(A10="","",SUMIFS(Transactions!$D$6:$D$505,Transactions!$C$6:$C$505,A10,Transactions!$B$6:$B$505,"Buy")-SUMIFS(Transactions!$D$6:$D$505,Transactions!$C$6:$C$505,A10,Transactions!$B$6:$B$505,"Sell"))</f>
        <v/>
      </c>
      <c r="H10" s="19">
        <f>IF(A10="","",IFERROR((SUMIFS(Transactions!$I$6:$I$505,Transactions!$C$6:$C$505,A10,Transactions!$B$6:$B$505,"Buy")+SUMIFS(Transactions!$H$6:$H$505,Transactions!$C$6:$C$505,A10,Transactions!$B$6:$B$505,"Buy"))/SUMIFS(Transactions!$D$6:$D$505,Transactions!$C$6:$C$505,A10,Transactions!$B$6:$B$505,"Buy"),0))</f>
        <v/>
      </c>
      <c r="I10" s="20" t="n">
        <v>6180</v>
      </c>
      <c r="J10" s="21" t="n">
        <v>0.854</v>
      </c>
      <c r="K10" s="22">
        <f>IF(A10="","",IFERROR(G10*I10*IF(EXACT(F10,"GBp"),0.01,1)/J10,0))</f>
        <v/>
      </c>
      <c r="L10" s="23">
        <f>IF(A10="","",IFERROR(K10/$B$5,0))</f>
        <v/>
      </c>
      <c r="M10" s="22">
        <f>IF(A10="","",G10*H10)</f>
        <v/>
      </c>
      <c r="N10" s="22">
        <f>IF(A10="","",K10-M10)</f>
        <v/>
      </c>
      <c r="O10" s="23">
        <f>IF(A10="","",IFERROR(N10/M10,0))</f>
        <v/>
      </c>
      <c r="P10" s="24" t="n"/>
      <c r="Q10" s="25" t="n"/>
      <c r="R10" s="25" t="n">
        <v>0.12</v>
      </c>
      <c r="S10" s="23">
        <f>IF(A10="","",L10-R10)</f>
        <v/>
      </c>
      <c r="T10" s="26">
        <f>IF(A10="","",IF(ABS(S10)&lt;=Settings!$B$10,"OK",IF(S10&gt;0,"Sell ","Buy ")&amp;TEXT(ABS(S10)*$B$5,"#,##0")&amp;" €"))</f>
        <v/>
      </c>
      <c r="U10" s="17" t="inlineStr">
        <is>
          <t>Example — replace</t>
        </is>
      </c>
    </row>
    <row r="11">
      <c r="A11" s="17" t="inlineStr">
        <is>
          <t>IBTM LN Equity</t>
        </is>
      </c>
      <c r="B11" s="17" t="inlineStr">
        <is>
          <t>iShares $ Treasury Bond 7-10yr UCITS ETF</t>
        </is>
      </c>
      <c r="C11" s="17" t="inlineStr">
        <is>
          <t>Bond</t>
        </is>
      </c>
      <c r="D11" s="17" t="inlineStr">
        <is>
          <t>Trend ETF</t>
        </is>
      </c>
      <c r="E11" s="17" t="inlineStr">
        <is>
          <t>North America</t>
        </is>
      </c>
      <c r="F11" s="17" t="inlineStr">
        <is>
          <t>USD</t>
        </is>
      </c>
      <c r="G11" s="18">
        <f>IF(A11="","",SUMIFS(Transactions!$D$6:$D$505,Transactions!$C$6:$C$505,A11,Transactions!$B$6:$B$505,"Buy")-SUMIFS(Transactions!$D$6:$D$505,Transactions!$C$6:$C$505,A11,Transactions!$B$6:$B$505,"Sell"))</f>
        <v/>
      </c>
      <c r="H11" s="19">
        <f>IF(A11="","",IFERROR((SUMIFS(Transactions!$I$6:$I$505,Transactions!$C$6:$C$505,A11,Transactions!$B$6:$B$505,"Buy")+SUMIFS(Transactions!$H$6:$H$505,Transactions!$C$6:$C$505,A11,Transactions!$B$6:$B$505,"Buy"))/SUMIFS(Transactions!$D$6:$D$505,Transactions!$C$6:$C$505,A11,Transactions!$B$6:$B$505,"Buy"),0))</f>
        <v/>
      </c>
      <c r="I11" s="20" t="n">
        <v>168.2</v>
      </c>
      <c r="J11" s="21" t="n">
        <v>1.133</v>
      </c>
      <c r="K11" s="22">
        <f>IF(A11="","",IFERROR(G11*I11*IF(EXACT(F11,"GBp"),0.01,1)/J11,0))</f>
        <v/>
      </c>
      <c r="L11" s="23">
        <f>IF(A11="","",IFERROR(K11/$B$5,0))</f>
        <v/>
      </c>
      <c r="M11" s="22">
        <f>IF(A11="","",G11*H11)</f>
        <v/>
      </c>
      <c r="N11" s="22">
        <f>IF(A11="","",K11-M11)</f>
        <v/>
      </c>
      <c r="O11" s="23">
        <f>IF(A11="","",IFERROR(N11/M11,0))</f>
        <v/>
      </c>
      <c r="P11" s="24" t="n"/>
      <c r="Q11" s="25" t="n"/>
      <c r="R11" s="25" t="n">
        <v>0.12</v>
      </c>
      <c r="S11" s="23">
        <f>IF(A11="","",L11-R11)</f>
        <v/>
      </c>
      <c r="T11" s="26">
        <f>IF(A11="","",IF(ABS(S11)&lt;=Settings!$B$10,"OK",IF(S11&gt;0,"Sell ","Buy ")&amp;TEXT(ABS(S11)*$B$5,"#,##0")&amp;" €"))</f>
        <v/>
      </c>
      <c r="U11" s="17" t="inlineStr">
        <is>
          <t>Example — replace</t>
        </is>
      </c>
    </row>
    <row r="12">
      <c r="A12" s="17" t="inlineStr">
        <is>
          <t>XEON GY Equity</t>
        </is>
      </c>
      <c r="B12" s="17" t="inlineStr">
        <is>
          <t>Xtrackers II EUR Overnight Rate Swap UCITS ETF</t>
        </is>
      </c>
      <c r="C12" s="17" t="inlineStr">
        <is>
          <t>Money market</t>
        </is>
      </c>
      <c r="D12" s="17" t="inlineStr">
        <is>
          <t>Cash &amp; money market</t>
        </is>
      </c>
      <c r="E12" s="17" t="inlineStr">
        <is>
          <t>Europe</t>
        </is>
      </c>
      <c r="F12" s="17" t="inlineStr">
        <is>
          <t>EUR</t>
        </is>
      </c>
      <c r="G12" s="18">
        <f>IF(A12="","",SUMIFS(Transactions!$D$6:$D$505,Transactions!$C$6:$C$505,A12,Transactions!$B$6:$B$505,"Buy")-SUMIFS(Transactions!$D$6:$D$505,Transactions!$C$6:$C$505,A12,Transactions!$B$6:$B$505,"Sell"))</f>
        <v/>
      </c>
      <c r="H12" s="19">
        <f>IF(A12="","",IFERROR((SUMIFS(Transactions!$I$6:$I$505,Transactions!$C$6:$C$505,A12,Transactions!$B$6:$B$505,"Buy")+SUMIFS(Transactions!$H$6:$H$505,Transactions!$C$6:$C$505,A12,Transactions!$B$6:$B$505,"Buy"))/SUMIFS(Transactions!$D$6:$D$505,Transactions!$C$6:$C$505,A12,Transactions!$B$6:$B$505,"Buy"),0))</f>
        <v/>
      </c>
      <c r="I12" s="20" t="n">
        <v>149.3</v>
      </c>
      <c r="J12" s="21" t="n">
        <v>1</v>
      </c>
      <c r="K12" s="22">
        <f>IF(A12="","",IFERROR(G12*I12*IF(EXACT(F12,"GBp"),0.01,1)/J12,0))</f>
        <v/>
      </c>
      <c r="L12" s="23">
        <f>IF(A12="","",IFERROR(K12/$B$5,0))</f>
        <v/>
      </c>
      <c r="M12" s="22">
        <f>IF(A12="","",G12*H12)</f>
        <v/>
      </c>
      <c r="N12" s="22">
        <f>IF(A12="","",K12-M12)</f>
        <v/>
      </c>
      <c r="O12" s="23">
        <f>IF(A12="","",IFERROR(N12/M12,0))</f>
        <v/>
      </c>
      <c r="P12" s="24" t="n"/>
      <c r="Q12" s="25" t="n"/>
      <c r="R12" s="25" t="n">
        <v>0.15</v>
      </c>
      <c r="S12" s="23">
        <f>IF(A12="","",L12-R12)</f>
        <v/>
      </c>
      <c r="T12" s="26">
        <f>IF(A12="","",IF(ABS(S12)&lt;=Settings!$B$10,"OK",IF(S12&gt;0,"Sell ","Buy ")&amp;TEXT(ABS(S12)*$B$5,"#,##0")&amp;" €"))</f>
        <v/>
      </c>
      <c r="U12" s="17" t="inlineStr">
        <is>
          <t>Example — replace</t>
        </is>
      </c>
    </row>
    <row r="13">
      <c r="A13" s="27" t="n"/>
      <c r="B13" s="27" t="n"/>
      <c r="C13" s="27" t="n"/>
      <c r="D13" s="27" t="n"/>
      <c r="E13" s="27" t="n"/>
      <c r="F13" s="27" t="n"/>
      <c r="G13" s="28">
        <f>IF(A13="","",SUMIFS(Transactions!$D$6:$D$505,Transactions!$C$6:$C$505,A13,Transactions!$B$6:$B$505,"Buy")-SUMIFS(Transactions!$D$6:$D$505,Transactions!$C$6:$C$505,A13,Transactions!$B$6:$B$505,"Sell"))</f>
        <v/>
      </c>
      <c r="H13" s="29">
        <f>IF(A13="","",IFERROR((SUMIFS(Transactions!$I$6:$I$505,Transactions!$C$6:$C$505,A13,Transactions!$B$6:$B$505,"Buy")+SUMIFS(Transactions!$H$6:$H$505,Transactions!$C$6:$C$505,A13,Transactions!$B$6:$B$505,"Buy"))/SUMIFS(Transactions!$D$6:$D$505,Transactions!$C$6:$C$505,A13,Transactions!$B$6:$B$505,"Buy"),0))</f>
        <v/>
      </c>
      <c r="I13" s="30" t="n"/>
      <c r="J13" s="31" t="n"/>
      <c r="K13" s="32">
        <f>IF(A13="","",IFERROR(G13*I13*IF(EXACT(F13,"GBp"),0.01,1)/J13,0))</f>
        <v/>
      </c>
      <c r="L13" s="33">
        <f>IF(A13="","",IFERROR(K13/$B$5,0))</f>
        <v/>
      </c>
      <c r="M13" s="32">
        <f>IF(A13="","",G13*H13)</f>
        <v/>
      </c>
      <c r="N13" s="32">
        <f>IF(A13="","",K13-M13)</f>
        <v/>
      </c>
      <c r="O13" s="33">
        <f>IF(A13="","",IFERROR(N13/M13,0))</f>
        <v/>
      </c>
      <c r="P13" s="34" t="n"/>
      <c r="Q13" s="35" t="n"/>
      <c r="R13" s="35" t="n"/>
      <c r="S13" s="33">
        <f>IF(A13="","",L13-R13)</f>
        <v/>
      </c>
      <c r="T13" s="36">
        <f>IF(A13="","",IF(ABS(S13)&lt;=Settings!$B$10,"OK",IF(S13&gt;0,"Sell ","Buy ")&amp;TEXT(ABS(S13)*$B$5,"#,##0")&amp;" €"))</f>
        <v/>
      </c>
      <c r="U13" s="27" t="n"/>
    </row>
    <row r="14">
      <c r="A14" s="27" t="n"/>
      <c r="B14" s="27" t="n"/>
      <c r="C14" s="27" t="n"/>
      <c r="D14" s="27" t="n"/>
      <c r="E14" s="27" t="n"/>
      <c r="F14" s="27" t="n"/>
      <c r="G14" s="28">
        <f>IF(A14="","",SUMIFS(Transactions!$D$6:$D$505,Transactions!$C$6:$C$505,A14,Transactions!$B$6:$B$505,"Buy")-SUMIFS(Transactions!$D$6:$D$505,Transactions!$C$6:$C$505,A14,Transactions!$B$6:$B$505,"Sell"))</f>
        <v/>
      </c>
      <c r="H14" s="29">
        <f>IF(A14="","",IFERROR((SUMIFS(Transactions!$I$6:$I$505,Transactions!$C$6:$C$505,A14,Transactions!$B$6:$B$505,"Buy")+SUMIFS(Transactions!$H$6:$H$505,Transactions!$C$6:$C$505,A14,Transactions!$B$6:$B$505,"Buy"))/SUMIFS(Transactions!$D$6:$D$505,Transactions!$C$6:$C$505,A14,Transactions!$B$6:$B$505,"Buy"),0))</f>
        <v/>
      </c>
      <c r="I14" s="30" t="n"/>
      <c r="J14" s="31" t="n"/>
      <c r="K14" s="32">
        <f>IF(A14="","",IFERROR(G14*I14*IF(EXACT(F14,"GBp"),0.01,1)/J14,0))</f>
        <v/>
      </c>
      <c r="L14" s="33">
        <f>IF(A14="","",IFERROR(K14/$B$5,0))</f>
        <v/>
      </c>
      <c r="M14" s="32">
        <f>IF(A14="","",G14*H14)</f>
        <v/>
      </c>
      <c r="N14" s="32">
        <f>IF(A14="","",K14-M14)</f>
        <v/>
      </c>
      <c r="O14" s="33">
        <f>IF(A14="","",IFERROR(N14/M14,0))</f>
        <v/>
      </c>
      <c r="P14" s="34" t="n"/>
      <c r="Q14" s="35" t="n"/>
      <c r="R14" s="35" t="n"/>
      <c r="S14" s="33">
        <f>IF(A14="","",L14-R14)</f>
        <v/>
      </c>
      <c r="T14" s="36">
        <f>IF(A14="","",IF(ABS(S14)&lt;=Settings!$B$10,"OK",IF(S14&gt;0,"Sell ","Buy ")&amp;TEXT(ABS(S14)*$B$5,"#,##0")&amp;" €"))</f>
        <v/>
      </c>
      <c r="U14" s="27" t="n"/>
    </row>
    <row r="15">
      <c r="A15" s="27" t="n"/>
      <c r="B15" s="27" t="n"/>
      <c r="C15" s="27" t="n"/>
      <c r="D15" s="27" t="n"/>
      <c r="E15" s="27" t="n"/>
      <c r="F15" s="27" t="n"/>
      <c r="G15" s="28">
        <f>IF(A15="","",SUMIFS(Transactions!$D$6:$D$505,Transactions!$C$6:$C$505,A15,Transactions!$B$6:$B$505,"Buy")-SUMIFS(Transactions!$D$6:$D$505,Transactions!$C$6:$C$505,A15,Transactions!$B$6:$B$505,"Sell"))</f>
        <v/>
      </c>
      <c r="H15" s="29">
        <f>IF(A15="","",IFERROR((SUMIFS(Transactions!$I$6:$I$505,Transactions!$C$6:$C$505,A15,Transactions!$B$6:$B$505,"Buy")+SUMIFS(Transactions!$H$6:$H$505,Transactions!$C$6:$C$505,A15,Transactions!$B$6:$B$505,"Buy"))/SUMIFS(Transactions!$D$6:$D$505,Transactions!$C$6:$C$505,A15,Transactions!$B$6:$B$505,"Buy"),0))</f>
        <v/>
      </c>
      <c r="I15" s="30" t="n"/>
      <c r="J15" s="31" t="n"/>
      <c r="K15" s="32">
        <f>IF(A15="","",IFERROR(G15*I15*IF(EXACT(F15,"GBp"),0.01,1)/J15,0))</f>
        <v/>
      </c>
      <c r="L15" s="33">
        <f>IF(A15="","",IFERROR(K15/$B$5,0))</f>
        <v/>
      </c>
      <c r="M15" s="32">
        <f>IF(A15="","",G15*H15)</f>
        <v/>
      </c>
      <c r="N15" s="32">
        <f>IF(A15="","",K15-M15)</f>
        <v/>
      </c>
      <c r="O15" s="33">
        <f>IF(A15="","",IFERROR(N15/M15,0))</f>
        <v/>
      </c>
      <c r="P15" s="34" t="n"/>
      <c r="Q15" s="35" t="n"/>
      <c r="R15" s="35" t="n"/>
      <c r="S15" s="33">
        <f>IF(A15="","",L15-R15)</f>
        <v/>
      </c>
      <c r="T15" s="36">
        <f>IF(A15="","",IF(ABS(S15)&lt;=Settings!$B$10,"OK",IF(S15&gt;0,"Sell ","Buy ")&amp;TEXT(ABS(S15)*$B$5,"#,##0")&amp;" €"))</f>
        <v/>
      </c>
      <c r="U15" s="27" t="n"/>
    </row>
    <row r="16">
      <c r="A16" s="27" t="n"/>
      <c r="B16" s="27" t="n"/>
      <c r="C16" s="27" t="n"/>
      <c r="D16" s="27" t="n"/>
      <c r="E16" s="27" t="n"/>
      <c r="F16" s="27" t="n"/>
      <c r="G16" s="28">
        <f>IF(A16="","",SUMIFS(Transactions!$D$6:$D$505,Transactions!$C$6:$C$505,A16,Transactions!$B$6:$B$505,"Buy")-SUMIFS(Transactions!$D$6:$D$505,Transactions!$C$6:$C$505,A16,Transactions!$B$6:$B$505,"Sell"))</f>
        <v/>
      </c>
      <c r="H16" s="29">
        <f>IF(A16="","",IFERROR((SUMIFS(Transactions!$I$6:$I$505,Transactions!$C$6:$C$505,A16,Transactions!$B$6:$B$505,"Buy")+SUMIFS(Transactions!$H$6:$H$505,Transactions!$C$6:$C$505,A16,Transactions!$B$6:$B$505,"Buy"))/SUMIFS(Transactions!$D$6:$D$505,Transactions!$C$6:$C$505,A16,Transactions!$B$6:$B$505,"Buy"),0))</f>
        <v/>
      </c>
      <c r="I16" s="30" t="n"/>
      <c r="J16" s="31" t="n"/>
      <c r="K16" s="32">
        <f>IF(A16="","",IFERROR(G16*I16*IF(EXACT(F16,"GBp"),0.01,1)/J16,0))</f>
        <v/>
      </c>
      <c r="L16" s="33">
        <f>IF(A16="","",IFERROR(K16/$B$5,0))</f>
        <v/>
      </c>
      <c r="M16" s="32">
        <f>IF(A16="","",G16*H16)</f>
        <v/>
      </c>
      <c r="N16" s="32">
        <f>IF(A16="","",K16-M16)</f>
        <v/>
      </c>
      <c r="O16" s="33">
        <f>IF(A16="","",IFERROR(N16/M16,0))</f>
        <v/>
      </c>
      <c r="P16" s="34" t="n"/>
      <c r="Q16" s="35" t="n"/>
      <c r="R16" s="35" t="n"/>
      <c r="S16" s="33">
        <f>IF(A16="","",L16-R16)</f>
        <v/>
      </c>
      <c r="T16" s="36">
        <f>IF(A16="","",IF(ABS(S16)&lt;=Settings!$B$10,"OK",IF(S16&gt;0,"Sell ","Buy ")&amp;TEXT(ABS(S16)*$B$5,"#,##0")&amp;" €"))</f>
        <v/>
      </c>
      <c r="U16" s="27" t="n"/>
    </row>
    <row r="17">
      <c r="A17" s="27" t="n"/>
      <c r="B17" s="27" t="n"/>
      <c r="C17" s="27" t="n"/>
      <c r="D17" s="27" t="n"/>
      <c r="E17" s="27" t="n"/>
      <c r="F17" s="27" t="n"/>
      <c r="G17" s="28">
        <f>IF(A17="","",SUMIFS(Transactions!$D$6:$D$505,Transactions!$C$6:$C$505,A17,Transactions!$B$6:$B$505,"Buy")-SUMIFS(Transactions!$D$6:$D$505,Transactions!$C$6:$C$505,A17,Transactions!$B$6:$B$505,"Sell"))</f>
        <v/>
      </c>
      <c r="H17" s="29">
        <f>IF(A17="","",IFERROR((SUMIFS(Transactions!$I$6:$I$505,Transactions!$C$6:$C$505,A17,Transactions!$B$6:$B$505,"Buy")+SUMIFS(Transactions!$H$6:$H$505,Transactions!$C$6:$C$505,A17,Transactions!$B$6:$B$505,"Buy"))/SUMIFS(Transactions!$D$6:$D$505,Transactions!$C$6:$C$505,A17,Transactions!$B$6:$B$505,"Buy"),0))</f>
        <v/>
      </c>
      <c r="I17" s="30" t="n"/>
      <c r="J17" s="31" t="n"/>
      <c r="K17" s="32">
        <f>IF(A17="","",IFERROR(G17*I17*IF(EXACT(F17,"GBp"),0.01,1)/J17,0))</f>
        <v/>
      </c>
      <c r="L17" s="33">
        <f>IF(A17="","",IFERROR(K17/$B$5,0))</f>
        <v/>
      </c>
      <c r="M17" s="32">
        <f>IF(A17="","",G17*H17)</f>
        <v/>
      </c>
      <c r="N17" s="32">
        <f>IF(A17="","",K17-M17)</f>
        <v/>
      </c>
      <c r="O17" s="33">
        <f>IF(A17="","",IFERROR(N17/M17,0))</f>
        <v/>
      </c>
      <c r="P17" s="34" t="n"/>
      <c r="Q17" s="35" t="n"/>
      <c r="R17" s="35" t="n"/>
      <c r="S17" s="33">
        <f>IF(A17="","",L17-R17)</f>
        <v/>
      </c>
      <c r="T17" s="36">
        <f>IF(A17="","",IF(ABS(S17)&lt;=Settings!$B$10,"OK",IF(S17&gt;0,"Sell ","Buy ")&amp;TEXT(ABS(S17)*$B$5,"#,##0")&amp;" €"))</f>
        <v/>
      </c>
      <c r="U17" s="27" t="n"/>
    </row>
    <row r="18">
      <c r="A18" s="27" t="n"/>
      <c r="B18" s="27" t="n"/>
      <c r="C18" s="27" t="n"/>
      <c r="D18" s="27" t="n"/>
      <c r="E18" s="27" t="n"/>
      <c r="F18" s="27" t="n"/>
      <c r="G18" s="28">
        <f>IF(A18="","",SUMIFS(Transactions!$D$6:$D$505,Transactions!$C$6:$C$505,A18,Transactions!$B$6:$B$505,"Buy")-SUMIFS(Transactions!$D$6:$D$505,Transactions!$C$6:$C$505,A18,Transactions!$B$6:$B$505,"Sell"))</f>
        <v/>
      </c>
      <c r="H18" s="29">
        <f>IF(A18="","",IFERROR((SUMIFS(Transactions!$I$6:$I$505,Transactions!$C$6:$C$505,A18,Transactions!$B$6:$B$505,"Buy")+SUMIFS(Transactions!$H$6:$H$505,Transactions!$C$6:$C$505,A18,Transactions!$B$6:$B$505,"Buy"))/SUMIFS(Transactions!$D$6:$D$505,Transactions!$C$6:$C$505,A18,Transactions!$B$6:$B$505,"Buy"),0))</f>
        <v/>
      </c>
      <c r="I18" s="30" t="n"/>
      <c r="J18" s="31" t="n"/>
      <c r="K18" s="32">
        <f>IF(A18="","",IFERROR(G18*I18*IF(EXACT(F18,"GBp"),0.01,1)/J18,0))</f>
        <v/>
      </c>
      <c r="L18" s="33">
        <f>IF(A18="","",IFERROR(K18/$B$5,0))</f>
        <v/>
      </c>
      <c r="M18" s="32">
        <f>IF(A18="","",G18*H18)</f>
        <v/>
      </c>
      <c r="N18" s="32">
        <f>IF(A18="","",K18-M18)</f>
        <v/>
      </c>
      <c r="O18" s="33">
        <f>IF(A18="","",IFERROR(N18/M18,0))</f>
        <v/>
      </c>
      <c r="P18" s="34" t="n"/>
      <c r="Q18" s="35" t="n"/>
      <c r="R18" s="35" t="n"/>
      <c r="S18" s="33">
        <f>IF(A18="","",L18-R18)</f>
        <v/>
      </c>
      <c r="T18" s="36">
        <f>IF(A18="","",IF(ABS(S18)&lt;=Settings!$B$10,"OK",IF(S18&gt;0,"Sell ","Buy ")&amp;TEXT(ABS(S18)*$B$5,"#,##0")&amp;" €"))</f>
        <v/>
      </c>
      <c r="U18" s="27" t="n"/>
    </row>
    <row r="19">
      <c r="A19" s="27" t="n"/>
      <c r="B19" s="27" t="n"/>
      <c r="C19" s="27" t="n"/>
      <c r="D19" s="27" t="n"/>
      <c r="E19" s="27" t="n"/>
      <c r="F19" s="27" t="n"/>
      <c r="G19" s="28">
        <f>IF(A19="","",SUMIFS(Transactions!$D$6:$D$505,Transactions!$C$6:$C$505,A19,Transactions!$B$6:$B$505,"Buy")-SUMIFS(Transactions!$D$6:$D$505,Transactions!$C$6:$C$505,A19,Transactions!$B$6:$B$505,"Sell"))</f>
        <v/>
      </c>
      <c r="H19" s="29">
        <f>IF(A19="","",IFERROR((SUMIFS(Transactions!$I$6:$I$505,Transactions!$C$6:$C$505,A19,Transactions!$B$6:$B$505,"Buy")+SUMIFS(Transactions!$H$6:$H$505,Transactions!$C$6:$C$505,A19,Transactions!$B$6:$B$505,"Buy"))/SUMIFS(Transactions!$D$6:$D$505,Transactions!$C$6:$C$505,A19,Transactions!$B$6:$B$505,"Buy"),0))</f>
        <v/>
      </c>
      <c r="I19" s="30" t="n"/>
      <c r="J19" s="31" t="n"/>
      <c r="K19" s="32">
        <f>IF(A19="","",IFERROR(G19*I19*IF(EXACT(F19,"GBp"),0.01,1)/J19,0))</f>
        <v/>
      </c>
      <c r="L19" s="33">
        <f>IF(A19="","",IFERROR(K19/$B$5,0))</f>
        <v/>
      </c>
      <c r="M19" s="32">
        <f>IF(A19="","",G19*H19)</f>
        <v/>
      </c>
      <c r="N19" s="32">
        <f>IF(A19="","",K19-M19)</f>
        <v/>
      </c>
      <c r="O19" s="33">
        <f>IF(A19="","",IFERROR(N19/M19,0))</f>
        <v/>
      </c>
      <c r="P19" s="34" t="n"/>
      <c r="Q19" s="35" t="n"/>
      <c r="R19" s="35" t="n"/>
      <c r="S19" s="33">
        <f>IF(A19="","",L19-R19)</f>
        <v/>
      </c>
      <c r="T19" s="36">
        <f>IF(A19="","",IF(ABS(S19)&lt;=Settings!$B$10,"OK",IF(S19&gt;0,"Sell ","Buy ")&amp;TEXT(ABS(S19)*$B$5,"#,##0")&amp;" €"))</f>
        <v/>
      </c>
      <c r="U19" s="27" t="n"/>
    </row>
    <row r="20">
      <c r="A20" s="27" t="n"/>
      <c r="B20" s="27" t="n"/>
      <c r="C20" s="27" t="n"/>
      <c r="D20" s="27" t="n"/>
      <c r="E20" s="27" t="n"/>
      <c r="F20" s="27" t="n"/>
      <c r="G20" s="28">
        <f>IF(A20="","",SUMIFS(Transactions!$D$6:$D$505,Transactions!$C$6:$C$505,A20,Transactions!$B$6:$B$505,"Buy")-SUMIFS(Transactions!$D$6:$D$505,Transactions!$C$6:$C$505,A20,Transactions!$B$6:$B$505,"Sell"))</f>
        <v/>
      </c>
      <c r="H20" s="29">
        <f>IF(A20="","",IFERROR((SUMIFS(Transactions!$I$6:$I$505,Transactions!$C$6:$C$505,A20,Transactions!$B$6:$B$505,"Buy")+SUMIFS(Transactions!$H$6:$H$505,Transactions!$C$6:$C$505,A20,Transactions!$B$6:$B$505,"Buy"))/SUMIFS(Transactions!$D$6:$D$505,Transactions!$C$6:$C$505,A20,Transactions!$B$6:$B$505,"Buy"),0))</f>
        <v/>
      </c>
      <c r="I20" s="30" t="n"/>
      <c r="J20" s="31" t="n"/>
      <c r="K20" s="32">
        <f>IF(A20="","",IFERROR(G20*I20*IF(EXACT(F20,"GBp"),0.01,1)/J20,0))</f>
        <v/>
      </c>
      <c r="L20" s="33">
        <f>IF(A20="","",IFERROR(K20/$B$5,0))</f>
        <v/>
      </c>
      <c r="M20" s="32">
        <f>IF(A20="","",G20*H20)</f>
        <v/>
      </c>
      <c r="N20" s="32">
        <f>IF(A20="","",K20-M20)</f>
        <v/>
      </c>
      <c r="O20" s="33">
        <f>IF(A20="","",IFERROR(N20/M20,0))</f>
        <v/>
      </c>
      <c r="P20" s="34" t="n"/>
      <c r="Q20" s="35" t="n"/>
      <c r="R20" s="35" t="n"/>
      <c r="S20" s="33">
        <f>IF(A20="","",L20-R20)</f>
        <v/>
      </c>
      <c r="T20" s="36">
        <f>IF(A20="","",IF(ABS(S20)&lt;=Settings!$B$10,"OK",IF(S20&gt;0,"Sell ","Buy ")&amp;TEXT(ABS(S20)*$B$5,"#,##0")&amp;" €"))</f>
        <v/>
      </c>
      <c r="U20" s="27" t="n"/>
    </row>
    <row r="21">
      <c r="A21" s="27" t="n"/>
      <c r="B21" s="27" t="n"/>
      <c r="C21" s="27" t="n"/>
      <c r="D21" s="27" t="n"/>
      <c r="E21" s="27" t="n"/>
      <c r="F21" s="27" t="n"/>
      <c r="G21" s="28">
        <f>IF(A21="","",SUMIFS(Transactions!$D$6:$D$505,Transactions!$C$6:$C$505,A21,Transactions!$B$6:$B$505,"Buy")-SUMIFS(Transactions!$D$6:$D$505,Transactions!$C$6:$C$505,A21,Transactions!$B$6:$B$505,"Sell"))</f>
        <v/>
      </c>
      <c r="H21" s="29">
        <f>IF(A21="","",IFERROR((SUMIFS(Transactions!$I$6:$I$505,Transactions!$C$6:$C$505,A21,Transactions!$B$6:$B$505,"Buy")+SUMIFS(Transactions!$H$6:$H$505,Transactions!$C$6:$C$505,A21,Transactions!$B$6:$B$505,"Buy"))/SUMIFS(Transactions!$D$6:$D$505,Transactions!$C$6:$C$505,A21,Transactions!$B$6:$B$505,"Buy"),0))</f>
        <v/>
      </c>
      <c r="I21" s="30" t="n"/>
      <c r="J21" s="31" t="n"/>
      <c r="K21" s="32">
        <f>IF(A21="","",IFERROR(G21*I21*IF(EXACT(F21,"GBp"),0.01,1)/J21,0))</f>
        <v/>
      </c>
      <c r="L21" s="33">
        <f>IF(A21="","",IFERROR(K21/$B$5,0))</f>
        <v/>
      </c>
      <c r="M21" s="32">
        <f>IF(A21="","",G21*H21)</f>
        <v/>
      </c>
      <c r="N21" s="32">
        <f>IF(A21="","",K21-M21)</f>
        <v/>
      </c>
      <c r="O21" s="33">
        <f>IF(A21="","",IFERROR(N21/M21,0))</f>
        <v/>
      </c>
      <c r="P21" s="34" t="n"/>
      <c r="Q21" s="35" t="n"/>
      <c r="R21" s="35" t="n"/>
      <c r="S21" s="33">
        <f>IF(A21="","",L21-R21)</f>
        <v/>
      </c>
      <c r="T21" s="36">
        <f>IF(A21="","",IF(ABS(S21)&lt;=Settings!$B$10,"OK",IF(S21&gt;0,"Sell ","Buy ")&amp;TEXT(ABS(S21)*$B$5,"#,##0")&amp;" €"))</f>
        <v/>
      </c>
      <c r="U21" s="27" t="n"/>
    </row>
    <row r="22">
      <c r="A22" s="27" t="n"/>
      <c r="B22" s="27" t="n"/>
      <c r="C22" s="27" t="n"/>
      <c r="D22" s="27" t="n"/>
      <c r="E22" s="27" t="n"/>
      <c r="F22" s="27" t="n"/>
      <c r="G22" s="28">
        <f>IF(A22="","",SUMIFS(Transactions!$D$6:$D$505,Transactions!$C$6:$C$505,A22,Transactions!$B$6:$B$505,"Buy")-SUMIFS(Transactions!$D$6:$D$505,Transactions!$C$6:$C$505,A22,Transactions!$B$6:$B$505,"Sell"))</f>
        <v/>
      </c>
      <c r="H22" s="29">
        <f>IF(A22="","",IFERROR((SUMIFS(Transactions!$I$6:$I$505,Transactions!$C$6:$C$505,A22,Transactions!$B$6:$B$505,"Buy")+SUMIFS(Transactions!$H$6:$H$505,Transactions!$C$6:$C$505,A22,Transactions!$B$6:$B$505,"Buy"))/SUMIFS(Transactions!$D$6:$D$505,Transactions!$C$6:$C$505,A22,Transactions!$B$6:$B$505,"Buy"),0))</f>
        <v/>
      </c>
      <c r="I22" s="30" t="n"/>
      <c r="J22" s="31" t="n"/>
      <c r="K22" s="32">
        <f>IF(A22="","",IFERROR(G22*I22*IF(EXACT(F22,"GBp"),0.01,1)/J22,0))</f>
        <v/>
      </c>
      <c r="L22" s="33">
        <f>IF(A22="","",IFERROR(K22/$B$5,0))</f>
        <v/>
      </c>
      <c r="M22" s="32">
        <f>IF(A22="","",G22*H22)</f>
        <v/>
      </c>
      <c r="N22" s="32">
        <f>IF(A22="","",K22-M22)</f>
        <v/>
      </c>
      <c r="O22" s="33">
        <f>IF(A22="","",IFERROR(N22/M22,0))</f>
        <v/>
      </c>
      <c r="P22" s="34" t="n"/>
      <c r="Q22" s="35" t="n"/>
      <c r="R22" s="35" t="n"/>
      <c r="S22" s="33">
        <f>IF(A22="","",L22-R22)</f>
        <v/>
      </c>
      <c r="T22" s="36">
        <f>IF(A22="","",IF(ABS(S22)&lt;=Settings!$B$10,"OK",IF(S22&gt;0,"Sell ","Buy ")&amp;TEXT(ABS(S22)*$B$5,"#,##0")&amp;" €"))</f>
        <v/>
      </c>
      <c r="U22" s="27" t="n"/>
    </row>
    <row r="23">
      <c r="A23" s="27" t="n"/>
      <c r="B23" s="27" t="n"/>
      <c r="C23" s="27" t="n"/>
      <c r="D23" s="27" t="n"/>
      <c r="E23" s="27" t="n"/>
      <c r="F23" s="27" t="n"/>
      <c r="G23" s="28">
        <f>IF(A23="","",SUMIFS(Transactions!$D$6:$D$505,Transactions!$C$6:$C$505,A23,Transactions!$B$6:$B$505,"Buy")-SUMIFS(Transactions!$D$6:$D$505,Transactions!$C$6:$C$505,A23,Transactions!$B$6:$B$505,"Sell"))</f>
        <v/>
      </c>
      <c r="H23" s="29">
        <f>IF(A23="","",IFERROR((SUMIFS(Transactions!$I$6:$I$505,Transactions!$C$6:$C$505,A23,Transactions!$B$6:$B$505,"Buy")+SUMIFS(Transactions!$H$6:$H$505,Transactions!$C$6:$C$505,A23,Transactions!$B$6:$B$505,"Buy"))/SUMIFS(Transactions!$D$6:$D$505,Transactions!$C$6:$C$505,A23,Transactions!$B$6:$B$505,"Buy"),0))</f>
        <v/>
      </c>
      <c r="I23" s="30" t="n"/>
      <c r="J23" s="31" t="n"/>
      <c r="K23" s="32">
        <f>IF(A23="","",IFERROR(G23*I23*IF(EXACT(F23,"GBp"),0.01,1)/J23,0))</f>
        <v/>
      </c>
      <c r="L23" s="33">
        <f>IF(A23="","",IFERROR(K23/$B$5,0))</f>
        <v/>
      </c>
      <c r="M23" s="32">
        <f>IF(A23="","",G23*H23)</f>
        <v/>
      </c>
      <c r="N23" s="32">
        <f>IF(A23="","",K23-M23)</f>
        <v/>
      </c>
      <c r="O23" s="33">
        <f>IF(A23="","",IFERROR(N23/M23,0))</f>
        <v/>
      </c>
      <c r="P23" s="34" t="n"/>
      <c r="Q23" s="35" t="n"/>
      <c r="R23" s="35" t="n"/>
      <c r="S23" s="33">
        <f>IF(A23="","",L23-R23)</f>
        <v/>
      </c>
      <c r="T23" s="36">
        <f>IF(A23="","",IF(ABS(S23)&lt;=Settings!$B$10,"OK",IF(S23&gt;0,"Sell ","Buy ")&amp;TEXT(ABS(S23)*$B$5,"#,##0")&amp;" €"))</f>
        <v/>
      </c>
      <c r="U23" s="27" t="n"/>
    </row>
    <row r="24">
      <c r="A24" s="27" t="n"/>
      <c r="B24" s="27" t="n"/>
      <c r="C24" s="27" t="n"/>
      <c r="D24" s="27" t="n"/>
      <c r="E24" s="27" t="n"/>
      <c r="F24" s="27" t="n"/>
      <c r="G24" s="28">
        <f>IF(A24="","",SUMIFS(Transactions!$D$6:$D$505,Transactions!$C$6:$C$505,A24,Transactions!$B$6:$B$505,"Buy")-SUMIFS(Transactions!$D$6:$D$505,Transactions!$C$6:$C$505,A24,Transactions!$B$6:$B$505,"Sell"))</f>
        <v/>
      </c>
      <c r="H24" s="29">
        <f>IF(A24="","",IFERROR((SUMIFS(Transactions!$I$6:$I$505,Transactions!$C$6:$C$505,A24,Transactions!$B$6:$B$505,"Buy")+SUMIFS(Transactions!$H$6:$H$505,Transactions!$C$6:$C$505,A24,Transactions!$B$6:$B$505,"Buy"))/SUMIFS(Transactions!$D$6:$D$505,Transactions!$C$6:$C$505,A24,Transactions!$B$6:$B$505,"Buy"),0))</f>
        <v/>
      </c>
      <c r="I24" s="30" t="n"/>
      <c r="J24" s="31" t="n"/>
      <c r="K24" s="32">
        <f>IF(A24="","",IFERROR(G24*I24*IF(EXACT(F24,"GBp"),0.01,1)/J24,0))</f>
        <v/>
      </c>
      <c r="L24" s="33">
        <f>IF(A24="","",IFERROR(K24/$B$5,0))</f>
        <v/>
      </c>
      <c r="M24" s="32">
        <f>IF(A24="","",G24*H24)</f>
        <v/>
      </c>
      <c r="N24" s="32">
        <f>IF(A24="","",K24-M24)</f>
        <v/>
      </c>
      <c r="O24" s="33">
        <f>IF(A24="","",IFERROR(N24/M24,0))</f>
        <v/>
      </c>
      <c r="P24" s="34" t="n"/>
      <c r="Q24" s="35" t="n"/>
      <c r="R24" s="35" t="n"/>
      <c r="S24" s="33">
        <f>IF(A24="","",L24-R24)</f>
        <v/>
      </c>
      <c r="T24" s="36">
        <f>IF(A24="","",IF(ABS(S24)&lt;=Settings!$B$10,"OK",IF(S24&gt;0,"Sell ","Buy ")&amp;TEXT(ABS(S24)*$B$5,"#,##0")&amp;" €"))</f>
        <v/>
      </c>
      <c r="U24" s="27" t="n"/>
    </row>
    <row r="25">
      <c r="A25" s="27" t="n"/>
      <c r="B25" s="27" t="n"/>
      <c r="C25" s="27" t="n"/>
      <c r="D25" s="27" t="n"/>
      <c r="E25" s="27" t="n"/>
      <c r="F25" s="27" t="n"/>
      <c r="G25" s="28">
        <f>IF(A25="","",SUMIFS(Transactions!$D$6:$D$505,Transactions!$C$6:$C$505,A25,Transactions!$B$6:$B$505,"Buy")-SUMIFS(Transactions!$D$6:$D$505,Transactions!$C$6:$C$505,A25,Transactions!$B$6:$B$505,"Sell"))</f>
        <v/>
      </c>
      <c r="H25" s="29">
        <f>IF(A25="","",IFERROR((SUMIFS(Transactions!$I$6:$I$505,Transactions!$C$6:$C$505,A25,Transactions!$B$6:$B$505,"Buy")+SUMIFS(Transactions!$H$6:$H$505,Transactions!$C$6:$C$505,A25,Transactions!$B$6:$B$505,"Buy"))/SUMIFS(Transactions!$D$6:$D$505,Transactions!$C$6:$C$505,A25,Transactions!$B$6:$B$505,"Buy"),0))</f>
        <v/>
      </c>
      <c r="I25" s="30" t="n"/>
      <c r="J25" s="31" t="n"/>
      <c r="K25" s="32">
        <f>IF(A25="","",IFERROR(G25*I25*IF(EXACT(F25,"GBp"),0.01,1)/J25,0))</f>
        <v/>
      </c>
      <c r="L25" s="33">
        <f>IF(A25="","",IFERROR(K25/$B$5,0))</f>
        <v/>
      </c>
      <c r="M25" s="32">
        <f>IF(A25="","",G25*H25)</f>
        <v/>
      </c>
      <c r="N25" s="32">
        <f>IF(A25="","",K25-M25)</f>
        <v/>
      </c>
      <c r="O25" s="33">
        <f>IF(A25="","",IFERROR(N25/M25,0))</f>
        <v/>
      </c>
      <c r="P25" s="34" t="n"/>
      <c r="Q25" s="35" t="n"/>
      <c r="R25" s="35" t="n"/>
      <c r="S25" s="33">
        <f>IF(A25="","",L25-R25)</f>
        <v/>
      </c>
      <c r="T25" s="36">
        <f>IF(A25="","",IF(ABS(S25)&lt;=Settings!$B$10,"OK",IF(S25&gt;0,"Sell ","Buy ")&amp;TEXT(ABS(S25)*$B$5,"#,##0")&amp;" €"))</f>
        <v/>
      </c>
      <c r="U25" s="27" t="n"/>
    </row>
    <row r="26">
      <c r="A26" s="27" t="n"/>
      <c r="B26" s="27" t="n"/>
      <c r="C26" s="27" t="n"/>
      <c r="D26" s="27" t="n"/>
      <c r="E26" s="27" t="n"/>
      <c r="F26" s="27" t="n"/>
      <c r="G26" s="28">
        <f>IF(A26="","",SUMIFS(Transactions!$D$6:$D$505,Transactions!$C$6:$C$505,A26,Transactions!$B$6:$B$505,"Buy")-SUMIFS(Transactions!$D$6:$D$505,Transactions!$C$6:$C$505,A26,Transactions!$B$6:$B$505,"Sell"))</f>
        <v/>
      </c>
      <c r="H26" s="29">
        <f>IF(A26="","",IFERROR((SUMIFS(Transactions!$I$6:$I$505,Transactions!$C$6:$C$505,A26,Transactions!$B$6:$B$505,"Buy")+SUMIFS(Transactions!$H$6:$H$505,Transactions!$C$6:$C$505,A26,Transactions!$B$6:$B$505,"Buy"))/SUMIFS(Transactions!$D$6:$D$505,Transactions!$C$6:$C$505,A26,Transactions!$B$6:$B$505,"Buy"),0))</f>
        <v/>
      </c>
      <c r="I26" s="30" t="n"/>
      <c r="J26" s="31" t="n"/>
      <c r="K26" s="32">
        <f>IF(A26="","",IFERROR(G26*I26*IF(EXACT(F26,"GBp"),0.01,1)/J26,0))</f>
        <v/>
      </c>
      <c r="L26" s="33">
        <f>IF(A26="","",IFERROR(K26/$B$5,0))</f>
        <v/>
      </c>
      <c r="M26" s="32">
        <f>IF(A26="","",G26*H26)</f>
        <v/>
      </c>
      <c r="N26" s="32">
        <f>IF(A26="","",K26-M26)</f>
        <v/>
      </c>
      <c r="O26" s="33">
        <f>IF(A26="","",IFERROR(N26/M26,0))</f>
        <v/>
      </c>
      <c r="P26" s="34" t="n"/>
      <c r="Q26" s="35" t="n"/>
      <c r="R26" s="35" t="n"/>
      <c r="S26" s="33">
        <f>IF(A26="","",L26-R26)</f>
        <v/>
      </c>
      <c r="T26" s="36">
        <f>IF(A26="","",IF(ABS(S26)&lt;=Settings!$B$10,"OK",IF(S26&gt;0,"Sell ","Buy ")&amp;TEXT(ABS(S26)*$B$5,"#,##0")&amp;" €"))</f>
        <v/>
      </c>
      <c r="U26" s="27" t="n"/>
    </row>
    <row r="27">
      <c r="A27" s="27" t="n"/>
      <c r="B27" s="27" t="n"/>
      <c r="C27" s="27" t="n"/>
      <c r="D27" s="27" t="n"/>
      <c r="E27" s="27" t="n"/>
      <c r="F27" s="27" t="n"/>
      <c r="G27" s="28">
        <f>IF(A27="","",SUMIFS(Transactions!$D$6:$D$505,Transactions!$C$6:$C$505,A27,Transactions!$B$6:$B$505,"Buy")-SUMIFS(Transactions!$D$6:$D$505,Transactions!$C$6:$C$505,A27,Transactions!$B$6:$B$505,"Sell"))</f>
        <v/>
      </c>
      <c r="H27" s="29">
        <f>IF(A27="","",IFERROR((SUMIFS(Transactions!$I$6:$I$505,Transactions!$C$6:$C$505,A27,Transactions!$B$6:$B$505,"Buy")+SUMIFS(Transactions!$H$6:$H$505,Transactions!$C$6:$C$505,A27,Transactions!$B$6:$B$505,"Buy"))/SUMIFS(Transactions!$D$6:$D$505,Transactions!$C$6:$C$505,A27,Transactions!$B$6:$B$505,"Buy"),0))</f>
        <v/>
      </c>
      <c r="I27" s="30" t="n"/>
      <c r="J27" s="31" t="n"/>
      <c r="K27" s="32">
        <f>IF(A27="","",IFERROR(G27*I27*IF(EXACT(F27,"GBp"),0.01,1)/J27,0))</f>
        <v/>
      </c>
      <c r="L27" s="33">
        <f>IF(A27="","",IFERROR(K27/$B$5,0))</f>
        <v/>
      </c>
      <c r="M27" s="32">
        <f>IF(A27="","",G27*H27)</f>
        <v/>
      </c>
      <c r="N27" s="32">
        <f>IF(A27="","",K27-M27)</f>
        <v/>
      </c>
      <c r="O27" s="33">
        <f>IF(A27="","",IFERROR(N27/M27,0))</f>
        <v/>
      </c>
      <c r="P27" s="34" t="n"/>
      <c r="Q27" s="35" t="n"/>
      <c r="R27" s="35" t="n"/>
      <c r="S27" s="33">
        <f>IF(A27="","",L27-R27)</f>
        <v/>
      </c>
      <c r="T27" s="36">
        <f>IF(A27="","",IF(ABS(S27)&lt;=Settings!$B$10,"OK",IF(S27&gt;0,"Sell ","Buy ")&amp;TEXT(ABS(S27)*$B$5,"#,##0")&amp;" €"))</f>
        <v/>
      </c>
      <c r="U27" s="27" t="n"/>
    </row>
    <row r="28">
      <c r="A28" s="27" t="n"/>
      <c r="B28" s="27" t="n"/>
      <c r="C28" s="27" t="n"/>
      <c r="D28" s="27" t="n"/>
      <c r="E28" s="27" t="n"/>
      <c r="F28" s="27" t="n"/>
      <c r="G28" s="28">
        <f>IF(A28="","",SUMIFS(Transactions!$D$6:$D$505,Transactions!$C$6:$C$505,A28,Transactions!$B$6:$B$505,"Buy")-SUMIFS(Transactions!$D$6:$D$505,Transactions!$C$6:$C$505,A28,Transactions!$B$6:$B$505,"Sell"))</f>
        <v/>
      </c>
      <c r="H28" s="29">
        <f>IF(A28="","",IFERROR((SUMIFS(Transactions!$I$6:$I$505,Transactions!$C$6:$C$505,A28,Transactions!$B$6:$B$505,"Buy")+SUMIFS(Transactions!$H$6:$H$505,Transactions!$C$6:$C$505,A28,Transactions!$B$6:$B$505,"Buy"))/SUMIFS(Transactions!$D$6:$D$505,Transactions!$C$6:$C$505,A28,Transactions!$B$6:$B$505,"Buy"),0))</f>
        <v/>
      </c>
      <c r="I28" s="30" t="n"/>
      <c r="J28" s="31" t="n"/>
      <c r="K28" s="32">
        <f>IF(A28="","",IFERROR(G28*I28*IF(EXACT(F28,"GBp"),0.01,1)/J28,0))</f>
        <v/>
      </c>
      <c r="L28" s="33">
        <f>IF(A28="","",IFERROR(K28/$B$5,0))</f>
        <v/>
      </c>
      <c r="M28" s="32">
        <f>IF(A28="","",G28*H28)</f>
        <v/>
      </c>
      <c r="N28" s="32">
        <f>IF(A28="","",K28-M28)</f>
        <v/>
      </c>
      <c r="O28" s="33">
        <f>IF(A28="","",IFERROR(N28/M28,0))</f>
        <v/>
      </c>
      <c r="P28" s="34" t="n"/>
      <c r="Q28" s="35" t="n"/>
      <c r="R28" s="35" t="n"/>
      <c r="S28" s="33">
        <f>IF(A28="","",L28-R28)</f>
        <v/>
      </c>
      <c r="T28" s="36">
        <f>IF(A28="","",IF(ABS(S28)&lt;=Settings!$B$10,"OK",IF(S28&gt;0,"Sell ","Buy ")&amp;TEXT(ABS(S28)*$B$5,"#,##0")&amp;" €"))</f>
        <v/>
      </c>
      <c r="U28" s="27" t="n"/>
    </row>
    <row r="29">
      <c r="A29" s="27" t="n"/>
      <c r="B29" s="27" t="n"/>
      <c r="C29" s="27" t="n"/>
      <c r="D29" s="27" t="n"/>
      <c r="E29" s="27" t="n"/>
      <c r="F29" s="27" t="n"/>
      <c r="G29" s="28">
        <f>IF(A29="","",SUMIFS(Transactions!$D$6:$D$505,Transactions!$C$6:$C$505,A29,Transactions!$B$6:$B$505,"Buy")-SUMIFS(Transactions!$D$6:$D$505,Transactions!$C$6:$C$505,A29,Transactions!$B$6:$B$505,"Sell"))</f>
        <v/>
      </c>
      <c r="H29" s="29">
        <f>IF(A29="","",IFERROR((SUMIFS(Transactions!$I$6:$I$505,Transactions!$C$6:$C$505,A29,Transactions!$B$6:$B$505,"Buy")+SUMIFS(Transactions!$H$6:$H$505,Transactions!$C$6:$C$505,A29,Transactions!$B$6:$B$505,"Buy"))/SUMIFS(Transactions!$D$6:$D$505,Transactions!$C$6:$C$505,A29,Transactions!$B$6:$B$505,"Buy"),0))</f>
        <v/>
      </c>
      <c r="I29" s="30" t="n"/>
      <c r="J29" s="31" t="n"/>
      <c r="K29" s="32">
        <f>IF(A29="","",IFERROR(G29*I29*IF(EXACT(F29,"GBp"),0.01,1)/J29,0))</f>
        <v/>
      </c>
      <c r="L29" s="33">
        <f>IF(A29="","",IFERROR(K29/$B$5,0))</f>
        <v/>
      </c>
      <c r="M29" s="32">
        <f>IF(A29="","",G29*H29)</f>
        <v/>
      </c>
      <c r="N29" s="32">
        <f>IF(A29="","",K29-M29)</f>
        <v/>
      </c>
      <c r="O29" s="33">
        <f>IF(A29="","",IFERROR(N29/M29,0))</f>
        <v/>
      </c>
      <c r="P29" s="34" t="n"/>
      <c r="Q29" s="35" t="n"/>
      <c r="R29" s="35" t="n"/>
      <c r="S29" s="33">
        <f>IF(A29="","",L29-R29)</f>
        <v/>
      </c>
      <c r="T29" s="36">
        <f>IF(A29="","",IF(ABS(S29)&lt;=Settings!$B$10,"OK",IF(S29&gt;0,"Sell ","Buy ")&amp;TEXT(ABS(S29)*$B$5,"#,##0")&amp;" €"))</f>
        <v/>
      </c>
      <c r="U29" s="27" t="n"/>
    </row>
    <row r="30">
      <c r="A30" s="27" t="n"/>
      <c r="B30" s="27" t="n"/>
      <c r="C30" s="27" t="n"/>
      <c r="D30" s="27" t="n"/>
      <c r="E30" s="27" t="n"/>
      <c r="F30" s="27" t="n"/>
      <c r="G30" s="28">
        <f>IF(A30="","",SUMIFS(Transactions!$D$6:$D$505,Transactions!$C$6:$C$505,A30,Transactions!$B$6:$B$505,"Buy")-SUMIFS(Transactions!$D$6:$D$505,Transactions!$C$6:$C$505,A30,Transactions!$B$6:$B$505,"Sell"))</f>
        <v/>
      </c>
      <c r="H30" s="29">
        <f>IF(A30="","",IFERROR((SUMIFS(Transactions!$I$6:$I$505,Transactions!$C$6:$C$505,A30,Transactions!$B$6:$B$505,"Buy")+SUMIFS(Transactions!$H$6:$H$505,Transactions!$C$6:$C$505,A30,Transactions!$B$6:$B$505,"Buy"))/SUMIFS(Transactions!$D$6:$D$505,Transactions!$C$6:$C$505,A30,Transactions!$B$6:$B$505,"Buy"),0))</f>
        <v/>
      </c>
      <c r="I30" s="30" t="n"/>
      <c r="J30" s="31" t="n"/>
      <c r="K30" s="32">
        <f>IF(A30="","",IFERROR(G30*I30*IF(EXACT(F30,"GBp"),0.01,1)/J30,0))</f>
        <v/>
      </c>
      <c r="L30" s="33">
        <f>IF(A30="","",IFERROR(K30/$B$5,0))</f>
        <v/>
      </c>
      <c r="M30" s="32">
        <f>IF(A30="","",G30*H30)</f>
        <v/>
      </c>
      <c r="N30" s="32">
        <f>IF(A30="","",K30-M30)</f>
        <v/>
      </c>
      <c r="O30" s="33">
        <f>IF(A30="","",IFERROR(N30/M30,0))</f>
        <v/>
      </c>
      <c r="P30" s="34" t="n"/>
      <c r="Q30" s="35" t="n"/>
      <c r="R30" s="35" t="n"/>
      <c r="S30" s="33">
        <f>IF(A30="","",L30-R30)</f>
        <v/>
      </c>
      <c r="T30" s="36">
        <f>IF(A30="","",IF(ABS(S30)&lt;=Settings!$B$10,"OK",IF(S30&gt;0,"Sell ","Buy ")&amp;TEXT(ABS(S30)*$B$5,"#,##0")&amp;" €"))</f>
        <v/>
      </c>
      <c r="U30" s="27" t="n"/>
    </row>
    <row r="31">
      <c r="A31" s="27" t="n"/>
      <c r="B31" s="27" t="n"/>
      <c r="C31" s="27" t="n"/>
      <c r="D31" s="27" t="n"/>
      <c r="E31" s="27" t="n"/>
      <c r="F31" s="27" t="n"/>
      <c r="G31" s="28">
        <f>IF(A31="","",SUMIFS(Transactions!$D$6:$D$505,Transactions!$C$6:$C$505,A31,Transactions!$B$6:$B$505,"Buy")-SUMIFS(Transactions!$D$6:$D$505,Transactions!$C$6:$C$505,A31,Transactions!$B$6:$B$505,"Sell"))</f>
        <v/>
      </c>
      <c r="H31" s="29">
        <f>IF(A31="","",IFERROR((SUMIFS(Transactions!$I$6:$I$505,Transactions!$C$6:$C$505,A31,Transactions!$B$6:$B$505,"Buy")+SUMIFS(Transactions!$H$6:$H$505,Transactions!$C$6:$C$505,A31,Transactions!$B$6:$B$505,"Buy"))/SUMIFS(Transactions!$D$6:$D$505,Transactions!$C$6:$C$505,A31,Transactions!$B$6:$B$505,"Buy"),0))</f>
        <v/>
      </c>
      <c r="I31" s="30" t="n"/>
      <c r="J31" s="31" t="n"/>
      <c r="K31" s="32">
        <f>IF(A31="","",IFERROR(G31*I31*IF(EXACT(F31,"GBp"),0.01,1)/J31,0))</f>
        <v/>
      </c>
      <c r="L31" s="33">
        <f>IF(A31="","",IFERROR(K31/$B$5,0))</f>
        <v/>
      </c>
      <c r="M31" s="32">
        <f>IF(A31="","",G31*H31)</f>
        <v/>
      </c>
      <c r="N31" s="32">
        <f>IF(A31="","",K31-M31)</f>
        <v/>
      </c>
      <c r="O31" s="33">
        <f>IF(A31="","",IFERROR(N31/M31,0))</f>
        <v/>
      </c>
      <c r="P31" s="34" t="n"/>
      <c r="Q31" s="35" t="n"/>
      <c r="R31" s="35" t="n"/>
      <c r="S31" s="33">
        <f>IF(A31="","",L31-R31)</f>
        <v/>
      </c>
      <c r="T31" s="36">
        <f>IF(A31="","",IF(ABS(S31)&lt;=Settings!$B$10,"OK",IF(S31&gt;0,"Sell ","Buy ")&amp;TEXT(ABS(S31)*$B$5,"#,##0")&amp;" €"))</f>
        <v/>
      </c>
      <c r="U31" s="27" t="n"/>
    </row>
    <row r="32">
      <c r="A32" s="27" t="n"/>
      <c r="B32" s="27" t="n"/>
      <c r="C32" s="27" t="n"/>
      <c r="D32" s="27" t="n"/>
      <c r="E32" s="27" t="n"/>
      <c r="F32" s="27" t="n"/>
      <c r="G32" s="28">
        <f>IF(A32="","",SUMIFS(Transactions!$D$6:$D$505,Transactions!$C$6:$C$505,A32,Transactions!$B$6:$B$505,"Buy")-SUMIFS(Transactions!$D$6:$D$505,Transactions!$C$6:$C$505,A32,Transactions!$B$6:$B$505,"Sell"))</f>
        <v/>
      </c>
      <c r="H32" s="29">
        <f>IF(A32="","",IFERROR((SUMIFS(Transactions!$I$6:$I$505,Transactions!$C$6:$C$505,A32,Transactions!$B$6:$B$505,"Buy")+SUMIFS(Transactions!$H$6:$H$505,Transactions!$C$6:$C$505,A32,Transactions!$B$6:$B$505,"Buy"))/SUMIFS(Transactions!$D$6:$D$505,Transactions!$C$6:$C$505,A32,Transactions!$B$6:$B$505,"Buy"),0))</f>
        <v/>
      </c>
      <c r="I32" s="30" t="n"/>
      <c r="J32" s="31" t="n"/>
      <c r="K32" s="32">
        <f>IF(A32="","",IFERROR(G32*I32*IF(EXACT(F32,"GBp"),0.01,1)/J32,0))</f>
        <v/>
      </c>
      <c r="L32" s="33">
        <f>IF(A32="","",IFERROR(K32/$B$5,0))</f>
        <v/>
      </c>
      <c r="M32" s="32">
        <f>IF(A32="","",G32*H32)</f>
        <v/>
      </c>
      <c r="N32" s="32">
        <f>IF(A32="","",K32-M32)</f>
        <v/>
      </c>
      <c r="O32" s="33">
        <f>IF(A32="","",IFERROR(N32/M32,0))</f>
        <v/>
      </c>
      <c r="P32" s="34" t="n"/>
      <c r="Q32" s="35" t="n"/>
      <c r="R32" s="35" t="n"/>
      <c r="S32" s="33">
        <f>IF(A32="","",L32-R32)</f>
        <v/>
      </c>
      <c r="T32" s="36">
        <f>IF(A32="","",IF(ABS(S32)&lt;=Settings!$B$10,"OK",IF(S32&gt;0,"Sell ","Buy ")&amp;TEXT(ABS(S32)*$B$5,"#,##0")&amp;" €"))</f>
        <v/>
      </c>
      <c r="U32" s="27" t="n"/>
    </row>
    <row r="33">
      <c r="A33" s="27" t="n"/>
      <c r="B33" s="27" t="n"/>
      <c r="C33" s="27" t="n"/>
      <c r="D33" s="27" t="n"/>
      <c r="E33" s="27" t="n"/>
      <c r="F33" s="27" t="n"/>
      <c r="G33" s="28">
        <f>IF(A33="","",SUMIFS(Transactions!$D$6:$D$505,Transactions!$C$6:$C$505,A33,Transactions!$B$6:$B$505,"Buy")-SUMIFS(Transactions!$D$6:$D$505,Transactions!$C$6:$C$505,A33,Transactions!$B$6:$B$505,"Sell"))</f>
        <v/>
      </c>
      <c r="H33" s="29">
        <f>IF(A33="","",IFERROR((SUMIFS(Transactions!$I$6:$I$505,Transactions!$C$6:$C$505,A33,Transactions!$B$6:$B$505,"Buy")+SUMIFS(Transactions!$H$6:$H$505,Transactions!$C$6:$C$505,A33,Transactions!$B$6:$B$505,"Buy"))/SUMIFS(Transactions!$D$6:$D$505,Transactions!$C$6:$C$505,A33,Transactions!$B$6:$B$505,"Buy"),0))</f>
        <v/>
      </c>
      <c r="I33" s="30" t="n"/>
      <c r="J33" s="31" t="n"/>
      <c r="K33" s="32">
        <f>IF(A33="","",IFERROR(G33*I33*IF(EXACT(F33,"GBp"),0.01,1)/J33,0))</f>
        <v/>
      </c>
      <c r="L33" s="33">
        <f>IF(A33="","",IFERROR(K33/$B$5,0))</f>
        <v/>
      </c>
      <c r="M33" s="32">
        <f>IF(A33="","",G33*H33)</f>
        <v/>
      </c>
      <c r="N33" s="32">
        <f>IF(A33="","",K33-M33)</f>
        <v/>
      </c>
      <c r="O33" s="33">
        <f>IF(A33="","",IFERROR(N33/M33,0))</f>
        <v/>
      </c>
      <c r="P33" s="34" t="n"/>
      <c r="Q33" s="35" t="n"/>
      <c r="R33" s="35" t="n"/>
      <c r="S33" s="33">
        <f>IF(A33="","",L33-R33)</f>
        <v/>
      </c>
      <c r="T33" s="36">
        <f>IF(A33="","",IF(ABS(S33)&lt;=Settings!$B$10,"OK",IF(S33&gt;0,"Sell ","Buy ")&amp;TEXT(ABS(S33)*$B$5,"#,##0")&amp;" €"))</f>
        <v/>
      </c>
      <c r="U33" s="27" t="n"/>
    </row>
    <row r="34">
      <c r="A34" s="27" t="n"/>
      <c r="B34" s="27" t="n"/>
      <c r="C34" s="27" t="n"/>
      <c r="D34" s="27" t="n"/>
      <c r="E34" s="27" t="n"/>
      <c r="F34" s="27" t="n"/>
      <c r="G34" s="28">
        <f>IF(A34="","",SUMIFS(Transactions!$D$6:$D$505,Transactions!$C$6:$C$505,A34,Transactions!$B$6:$B$505,"Buy")-SUMIFS(Transactions!$D$6:$D$505,Transactions!$C$6:$C$505,A34,Transactions!$B$6:$B$505,"Sell"))</f>
        <v/>
      </c>
      <c r="H34" s="29">
        <f>IF(A34="","",IFERROR((SUMIFS(Transactions!$I$6:$I$505,Transactions!$C$6:$C$505,A34,Transactions!$B$6:$B$505,"Buy")+SUMIFS(Transactions!$H$6:$H$505,Transactions!$C$6:$C$505,A34,Transactions!$B$6:$B$505,"Buy"))/SUMIFS(Transactions!$D$6:$D$505,Transactions!$C$6:$C$505,A34,Transactions!$B$6:$B$505,"Buy"),0))</f>
        <v/>
      </c>
      <c r="I34" s="30" t="n"/>
      <c r="J34" s="31" t="n"/>
      <c r="K34" s="32">
        <f>IF(A34="","",IFERROR(G34*I34*IF(EXACT(F34,"GBp"),0.01,1)/J34,0))</f>
        <v/>
      </c>
      <c r="L34" s="33">
        <f>IF(A34="","",IFERROR(K34/$B$5,0))</f>
        <v/>
      </c>
      <c r="M34" s="32">
        <f>IF(A34="","",G34*H34)</f>
        <v/>
      </c>
      <c r="N34" s="32">
        <f>IF(A34="","",K34-M34)</f>
        <v/>
      </c>
      <c r="O34" s="33">
        <f>IF(A34="","",IFERROR(N34/M34,0))</f>
        <v/>
      </c>
      <c r="P34" s="34" t="n"/>
      <c r="Q34" s="35" t="n"/>
      <c r="R34" s="35" t="n"/>
      <c r="S34" s="33">
        <f>IF(A34="","",L34-R34)</f>
        <v/>
      </c>
      <c r="T34" s="36">
        <f>IF(A34="","",IF(ABS(S34)&lt;=Settings!$B$10,"OK",IF(S34&gt;0,"Sell ","Buy ")&amp;TEXT(ABS(S34)*$B$5,"#,##0")&amp;" €"))</f>
        <v/>
      </c>
      <c r="U34" s="27" t="n"/>
    </row>
    <row r="35">
      <c r="A35" s="27" t="n"/>
      <c r="B35" s="27" t="n"/>
      <c r="C35" s="27" t="n"/>
      <c r="D35" s="27" t="n"/>
      <c r="E35" s="27" t="n"/>
      <c r="F35" s="27" t="n"/>
      <c r="G35" s="28">
        <f>IF(A35="","",SUMIFS(Transactions!$D$6:$D$505,Transactions!$C$6:$C$505,A35,Transactions!$B$6:$B$505,"Buy")-SUMIFS(Transactions!$D$6:$D$505,Transactions!$C$6:$C$505,A35,Transactions!$B$6:$B$505,"Sell"))</f>
        <v/>
      </c>
      <c r="H35" s="29">
        <f>IF(A35="","",IFERROR((SUMIFS(Transactions!$I$6:$I$505,Transactions!$C$6:$C$505,A35,Transactions!$B$6:$B$505,"Buy")+SUMIFS(Transactions!$H$6:$H$505,Transactions!$C$6:$C$505,A35,Transactions!$B$6:$B$505,"Buy"))/SUMIFS(Transactions!$D$6:$D$505,Transactions!$C$6:$C$505,A35,Transactions!$B$6:$B$505,"Buy"),0))</f>
        <v/>
      </c>
      <c r="I35" s="30" t="n"/>
      <c r="J35" s="31" t="n"/>
      <c r="K35" s="32">
        <f>IF(A35="","",IFERROR(G35*I35*IF(EXACT(F35,"GBp"),0.01,1)/J35,0))</f>
        <v/>
      </c>
      <c r="L35" s="33">
        <f>IF(A35="","",IFERROR(K35/$B$5,0))</f>
        <v/>
      </c>
      <c r="M35" s="32">
        <f>IF(A35="","",G35*H35)</f>
        <v/>
      </c>
      <c r="N35" s="32">
        <f>IF(A35="","",K35-M35)</f>
        <v/>
      </c>
      <c r="O35" s="33">
        <f>IF(A35="","",IFERROR(N35/M35,0))</f>
        <v/>
      </c>
      <c r="P35" s="34" t="n"/>
      <c r="Q35" s="35" t="n"/>
      <c r="R35" s="35" t="n"/>
      <c r="S35" s="33">
        <f>IF(A35="","",L35-R35)</f>
        <v/>
      </c>
      <c r="T35" s="36">
        <f>IF(A35="","",IF(ABS(S35)&lt;=Settings!$B$10,"OK",IF(S35&gt;0,"Sell ","Buy ")&amp;TEXT(ABS(S35)*$B$5,"#,##0")&amp;" €"))</f>
        <v/>
      </c>
      <c r="U35" s="27" t="n"/>
    </row>
    <row r="36">
      <c r="A36" s="27" t="n"/>
      <c r="B36" s="27" t="n"/>
      <c r="C36" s="27" t="n"/>
      <c r="D36" s="27" t="n"/>
      <c r="E36" s="27" t="n"/>
      <c r="F36" s="27" t="n"/>
      <c r="G36" s="28">
        <f>IF(A36="","",SUMIFS(Transactions!$D$6:$D$505,Transactions!$C$6:$C$505,A36,Transactions!$B$6:$B$505,"Buy")-SUMIFS(Transactions!$D$6:$D$505,Transactions!$C$6:$C$505,A36,Transactions!$B$6:$B$505,"Sell"))</f>
        <v/>
      </c>
      <c r="H36" s="29">
        <f>IF(A36="","",IFERROR((SUMIFS(Transactions!$I$6:$I$505,Transactions!$C$6:$C$505,A36,Transactions!$B$6:$B$505,"Buy")+SUMIFS(Transactions!$H$6:$H$505,Transactions!$C$6:$C$505,A36,Transactions!$B$6:$B$505,"Buy"))/SUMIFS(Transactions!$D$6:$D$505,Transactions!$C$6:$C$505,A36,Transactions!$B$6:$B$505,"Buy"),0))</f>
        <v/>
      </c>
      <c r="I36" s="30" t="n"/>
      <c r="J36" s="31" t="n"/>
      <c r="K36" s="32">
        <f>IF(A36="","",IFERROR(G36*I36*IF(EXACT(F36,"GBp"),0.01,1)/J36,0))</f>
        <v/>
      </c>
      <c r="L36" s="33">
        <f>IF(A36="","",IFERROR(K36/$B$5,0))</f>
        <v/>
      </c>
      <c r="M36" s="32">
        <f>IF(A36="","",G36*H36)</f>
        <v/>
      </c>
      <c r="N36" s="32">
        <f>IF(A36="","",K36-M36)</f>
        <v/>
      </c>
      <c r="O36" s="33">
        <f>IF(A36="","",IFERROR(N36/M36,0))</f>
        <v/>
      </c>
      <c r="P36" s="34" t="n"/>
      <c r="Q36" s="35" t="n"/>
      <c r="R36" s="35" t="n"/>
      <c r="S36" s="33">
        <f>IF(A36="","",L36-R36)</f>
        <v/>
      </c>
      <c r="T36" s="36">
        <f>IF(A36="","",IF(ABS(S36)&lt;=Settings!$B$10,"OK",IF(S36&gt;0,"Sell ","Buy ")&amp;TEXT(ABS(S36)*$B$5,"#,##0")&amp;" €"))</f>
        <v/>
      </c>
      <c r="U36" s="27" t="n"/>
    </row>
    <row r="37">
      <c r="A37" s="27" t="n"/>
      <c r="B37" s="27" t="n"/>
      <c r="C37" s="27" t="n"/>
      <c r="D37" s="27" t="n"/>
      <c r="E37" s="27" t="n"/>
      <c r="F37" s="27" t="n"/>
      <c r="G37" s="28">
        <f>IF(A37="","",SUMIFS(Transactions!$D$6:$D$505,Transactions!$C$6:$C$505,A37,Transactions!$B$6:$B$505,"Buy")-SUMIFS(Transactions!$D$6:$D$505,Transactions!$C$6:$C$505,A37,Transactions!$B$6:$B$505,"Sell"))</f>
        <v/>
      </c>
      <c r="H37" s="29">
        <f>IF(A37="","",IFERROR((SUMIFS(Transactions!$I$6:$I$505,Transactions!$C$6:$C$505,A37,Transactions!$B$6:$B$505,"Buy")+SUMIFS(Transactions!$H$6:$H$505,Transactions!$C$6:$C$505,A37,Transactions!$B$6:$B$505,"Buy"))/SUMIFS(Transactions!$D$6:$D$505,Transactions!$C$6:$C$505,A37,Transactions!$B$6:$B$505,"Buy"),0))</f>
        <v/>
      </c>
      <c r="I37" s="30" t="n"/>
      <c r="J37" s="31" t="n"/>
      <c r="K37" s="32">
        <f>IF(A37="","",IFERROR(G37*I37*IF(EXACT(F37,"GBp"),0.01,1)/J37,0))</f>
        <v/>
      </c>
      <c r="L37" s="33">
        <f>IF(A37="","",IFERROR(K37/$B$5,0))</f>
        <v/>
      </c>
      <c r="M37" s="32">
        <f>IF(A37="","",G37*H37)</f>
        <v/>
      </c>
      <c r="N37" s="32">
        <f>IF(A37="","",K37-M37)</f>
        <v/>
      </c>
      <c r="O37" s="33">
        <f>IF(A37="","",IFERROR(N37/M37,0))</f>
        <v/>
      </c>
      <c r="P37" s="34" t="n"/>
      <c r="Q37" s="35" t="n"/>
      <c r="R37" s="35" t="n"/>
      <c r="S37" s="33">
        <f>IF(A37="","",L37-R37)</f>
        <v/>
      </c>
      <c r="T37" s="36">
        <f>IF(A37="","",IF(ABS(S37)&lt;=Settings!$B$10,"OK",IF(S37&gt;0,"Sell ","Buy ")&amp;TEXT(ABS(S37)*$B$5,"#,##0")&amp;" €"))</f>
        <v/>
      </c>
      <c r="U37" s="27" t="n"/>
    </row>
    <row r="38">
      <c r="A38" s="27" t="n"/>
      <c r="B38" s="27" t="n"/>
      <c r="C38" s="27" t="n"/>
      <c r="D38" s="27" t="n"/>
      <c r="E38" s="27" t="n"/>
      <c r="F38" s="27" t="n"/>
      <c r="G38" s="28">
        <f>IF(A38="","",SUMIFS(Transactions!$D$6:$D$505,Transactions!$C$6:$C$505,A38,Transactions!$B$6:$B$505,"Buy")-SUMIFS(Transactions!$D$6:$D$505,Transactions!$C$6:$C$505,A38,Transactions!$B$6:$B$505,"Sell"))</f>
        <v/>
      </c>
      <c r="H38" s="29">
        <f>IF(A38="","",IFERROR((SUMIFS(Transactions!$I$6:$I$505,Transactions!$C$6:$C$505,A38,Transactions!$B$6:$B$505,"Buy")+SUMIFS(Transactions!$H$6:$H$505,Transactions!$C$6:$C$505,A38,Transactions!$B$6:$B$505,"Buy"))/SUMIFS(Transactions!$D$6:$D$505,Transactions!$C$6:$C$505,A38,Transactions!$B$6:$B$505,"Buy"),0))</f>
        <v/>
      </c>
      <c r="I38" s="30" t="n"/>
      <c r="J38" s="31" t="n"/>
      <c r="K38" s="32">
        <f>IF(A38="","",IFERROR(G38*I38*IF(EXACT(F38,"GBp"),0.01,1)/J38,0))</f>
        <v/>
      </c>
      <c r="L38" s="33">
        <f>IF(A38="","",IFERROR(K38/$B$5,0))</f>
        <v/>
      </c>
      <c r="M38" s="32">
        <f>IF(A38="","",G38*H38)</f>
        <v/>
      </c>
      <c r="N38" s="32">
        <f>IF(A38="","",K38-M38)</f>
        <v/>
      </c>
      <c r="O38" s="33">
        <f>IF(A38="","",IFERROR(N38/M38,0))</f>
        <v/>
      </c>
      <c r="P38" s="34" t="n"/>
      <c r="Q38" s="35" t="n"/>
      <c r="R38" s="35" t="n"/>
      <c r="S38" s="33">
        <f>IF(A38="","",L38-R38)</f>
        <v/>
      </c>
      <c r="T38" s="36">
        <f>IF(A38="","",IF(ABS(S38)&lt;=Settings!$B$10,"OK",IF(S38&gt;0,"Sell ","Buy ")&amp;TEXT(ABS(S38)*$B$5,"#,##0")&amp;" €"))</f>
        <v/>
      </c>
      <c r="U38" s="27" t="n"/>
    </row>
    <row r="39">
      <c r="A39" s="27" t="n"/>
      <c r="B39" s="27" t="n"/>
      <c r="C39" s="27" t="n"/>
      <c r="D39" s="27" t="n"/>
      <c r="E39" s="27" t="n"/>
      <c r="F39" s="27" t="n"/>
      <c r="G39" s="28">
        <f>IF(A39="","",SUMIFS(Transactions!$D$6:$D$505,Transactions!$C$6:$C$505,A39,Transactions!$B$6:$B$505,"Buy")-SUMIFS(Transactions!$D$6:$D$505,Transactions!$C$6:$C$505,A39,Transactions!$B$6:$B$505,"Sell"))</f>
        <v/>
      </c>
      <c r="H39" s="29">
        <f>IF(A39="","",IFERROR((SUMIFS(Transactions!$I$6:$I$505,Transactions!$C$6:$C$505,A39,Transactions!$B$6:$B$505,"Buy")+SUMIFS(Transactions!$H$6:$H$505,Transactions!$C$6:$C$505,A39,Transactions!$B$6:$B$505,"Buy"))/SUMIFS(Transactions!$D$6:$D$505,Transactions!$C$6:$C$505,A39,Transactions!$B$6:$B$505,"Buy"),0))</f>
        <v/>
      </c>
      <c r="I39" s="30" t="n"/>
      <c r="J39" s="31" t="n"/>
      <c r="K39" s="32">
        <f>IF(A39="","",IFERROR(G39*I39*IF(EXACT(F39,"GBp"),0.01,1)/J39,0))</f>
        <v/>
      </c>
      <c r="L39" s="33">
        <f>IF(A39="","",IFERROR(K39/$B$5,0))</f>
        <v/>
      </c>
      <c r="M39" s="32">
        <f>IF(A39="","",G39*H39)</f>
        <v/>
      </c>
      <c r="N39" s="32">
        <f>IF(A39="","",K39-M39)</f>
        <v/>
      </c>
      <c r="O39" s="33">
        <f>IF(A39="","",IFERROR(N39/M39,0))</f>
        <v/>
      </c>
      <c r="P39" s="34" t="n"/>
      <c r="Q39" s="35" t="n"/>
      <c r="R39" s="35" t="n"/>
      <c r="S39" s="33">
        <f>IF(A39="","",L39-R39)</f>
        <v/>
      </c>
      <c r="T39" s="36">
        <f>IF(A39="","",IF(ABS(S39)&lt;=Settings!$B$10,"OK",IF(S39&gt;0,"Sell ","Buy ")&amp;TEXT(ABS(S39)*$B$5,"#,##0")&amp;" €"))</f>
        <v/>
      </c>
      <c r="U39" s="27" t="n"/>
    </row>
    <row r="40">
      <c r="A40" s="27" t="n"/>
      <c r="B40" s="27" t="n"/>
      <c r="C40" s="27" t="n"/>
      <c r="D40" s="27" t="n"/>
      <c r="E40" s="27" t="n"/>
      <c r="F40" s="27" t="n"/>
      <c r="G40" s="28">
        <f>IF(A40="","",SUMIFS(Transactions!$D$6:$D$505,Transactions!$C$6:$C$505,A40,Transactions!$B$6:$B$505,"Buy")-SUMIFS(Transactions!$D$6:$D$505,Transactions!$C$6:$C$505,A40,Transactions!$B$6:$B$505,"Sell"))</f>
        <v/>
      </c>
      <c r="H40" s="29">
        <f>IF(A40="","",IFERROR((SUMIFS(Transactions!$I$6:$I$505,Transactions!$C$6:$C$505,A40,Transactions!$B$6:$B$505,"Buy")+SUMIFS(Transactions!$H$6:$H$505,Transactions!$C$6:$C$505,A40,Transactions!$B$6:$B$505,"Buy"))/SUMIFS(Transactions!$D$6:$D$505,Transactions!$C$6:$C$505,A40,Transactions!$B$6:$B$505,"Buy"),0))</f>
        <v/>
      </c>
      <c r="I40" s="30" t="n"/>
      <c r="J40" s="31" t="n"/>
      <c r="K40" s="32">
        <f>IF(A40="","",IFERROR(G40*I40*IF(EXACT(F40,"GBp"),0.01,1)/J40,0))</f>
        <v/>
      </c>
      <c r="L40" s="33">
        <f>IF(A40="","",IFERROR(K40/$B$5,0))</f>
        <v/>
      </c>
      <c r="M40" s="32">
        <f>IF(A40="","",G40*H40)</f>
        <v/>
      </c>
      <c r="N40" s="32">
        <f>IF(A40="","",K40-M40)</f>
        <v/>
      </c>
      <c r="O40" s="33">
        <f>IF(A40="","",IFERROR(N40/M40,0))</f>
        <v/>
      </c>
      <c r="P40" s="34" t="n"/>
      <c r="Q40" s="35" t="n"/>
      <c r="R40" s="35" t="n"/>
      <c r="S40" s="33">
        <f>IF(A40="","",L40-R40)</f>
        <v/>
      </c>
      <c r="T40" s="36">
        <f>IF(A40="","",IF(ABS(S40)&lt;=Settings!$B$10,"OK",IF(S40&gt;0,"Sell ","Buy ")&amp;TEXT(ABS(S40)*$B$5,"#,##0")&amp;" €"))</f>
        <v/>
      </c>
      <c r="U40" s="27" t="n"/>
    </row>
    <row r="41">
      <c r="A41" s="27" t="n"/>
      <c r="B41" s="27" t="n"/>
      <c r="C41" s="27" t="n"/>
      <c r="D41" s="27" t="n"/>
      <c r="E41" s="27" t="n"/>
      <c r="F41" s="27" t="n"/>
      <c r="G41" s="28">
        <f>IF(A41="","",SUMIFS(Transactions!$D$6:$D$505,Transactions!$C$6:$C$505,A41,Transactions!$B$6:$B$505,"Buy")-SUMIFS(Transactions!$D$6:$D$505,Transactions!$C$6:$C$505,A41,Transactions!$B$6:$B$505,"Sell"))</f>
        <v/>
      </c>
      <c r="H41" s="29">
        <f>IF(A41="","",IFERROR((SUMIFS(Transactions!$I$6:$I$505,Transactions!$C$6:$C$505,A41,Transactions!$B$6:$B$505,"Buy")+SUMIFS(Transactions!$H$6:$H$505,Transactions!$C$6:$C$505,A41,Transactions!$B$6:$B$505,"Buy"))/SUMIFS(Transactions!$D$6:$D$505,Transactions!$C$6:$C$505,A41,Transactions!$B$6:$B$505,"Buy"),0))</f>
        <v/>
      </c>
      <c r="I41" s="30" t="n"/>
      <c r="J41" s="31" t="n"/>
      <c r="K41" s="32">
        <f>IF(A41="","",IFERROR(G41*I41*IF(EXACT(F41,"GBp"),0.01,1)/J41,0))</f>
        <v/>
      </c>
      <c r="L41" s="33">
        <f>IF(A41="","",IFERROR(K41/$B$5,0))</f>
        <v/>
      </c>
      <c r="M41" s="32">
        <f>IF(A41="","",G41*H41)</f>
        <v/>
      </c>
      <c r="N41" s="32">
        <f>IF(A41="","",K41-M41)</f>
        <v/>
      </c>
      <c r="O41" s="33">
        <f>IF(A41="","",IFERROR(N41/M41,0))</f>
        <v/>
      </c>
      <c r="P41" s="34" t="n"/>
      <c r="Q41" s="35" t="n"/>
      <c r="R41" s="35" t="n"/>
      <c r="S41" s="33">
        <f>IF(A41="","",L41-R41)</f>
        <v/>
      </c>
      <c r="T41" s="36">
        <f>IF(A41="","",IF(ABS(S41)&lt;=Settings!$B$10,"OK",IF(S41&gt;0,"Sell ","Buy ")&amp;TEXT(ABS(S41)*$B$5,"#,##0")&amp;" €"))</f>
        <v/>
      </c>
      <c r="U41" s="27" t="n"/>
    </row>
    <row r="42">
      <c r="A42" s="27" t="n"/>
      <c r="B42" s="27" t="n"/>
      <c r="C42" s="27" t="n"/>
      <c r="D42" s="27" t="n"/>
      <c r="E42" s="27" t="n"/>
      <c r="F42" s="27" t="n"/>
      <c r="G42" s="28">
        <f>IF(A42="","",SUMIFS(Transactions!$D$6:$D$505,Transactions!$C$6:$C$505,A42,Transactions!$B$6:$B$505,"Buy")-SUMIFS(Transactions!$D$6:$D$505,Transactions!$C$6:$C$505,A42,Transactions!$B$6:$B$505,"Sell"))</f>
        <v/>
      </c>
      <c r="H42" s="29">
        <f>IF(A42="","",IFERROR((SUMIFS(Transactions!$I$6:$I$505,Transactions!$C$6:$C$505,A42,Transactions!$B$6:$B$505,"Buy")+SUMIFS(Transactions!$H$6:$H$505,Transactions!$C$6:$C$505,A42,Transactions!$B$6:$B$505,"Buy"))/SUMIFS(Transactions!$D$6:$D$505,Transactions!$C$6:$C$505,A42,Transactions!$B$6:$B$505,"Buy"),0))</f>
        <v/>
      </c>
      <c r="I42" s="30" t="n"/>
      <c r="J42" s="31" t="n"/>
      <c r="K42" s="32">
        <f>IF(A42="","",IFERROR(G42*I42*IF(EXACT(F42,"GBp"),0.01,1)/J42,0))</f>
        <v/>
      </c>
      <c r="L42" s="33">
        <f>IF(A42="","",IFERROR(K42/$B$5,0))</f>
        <v/>
      </c>
      <c r="M42" s="32">
        <f>IF(A42="","",G42*H42)</f>
        <v/>
      </c>
      <c r="N42" s="32">
        <f>IF(A42="","",K42-M42)</f>
        <v/>
      </c>
      <c r="O42" s="33">
        <f>IF(A42="","",IFERROR(N42/M42,0))</f>
        <v/>
      </c>
      <c r="P42" s="34" t="n"/>
      <c r="Q42" s="35" t="n"/>
      <c r="R42" s="35" t="n"/>
      <c r="S42" s="33">
        <f>IF(A42="","",L42-R42)</f>
        <v/>
      </c>
      <c r="T42" s="36">
        <f>IF(A42="","",IF(ABS(S42)&lt;=Settings!$B$10,"OK",IF(S42&gt;0,"Sell ","Buy ")&amp;TEXT(ABS(S42)*$B$5,"#,##0")&amp;" €"))</f>
        <v/>
      </c>
      <c r="U42" s="27" t="n"/>
    </row>
    <row r="43">
      <c r="A43" s="27" t="n"/>
      <c r="B43" s="27" t="n"/>
      <c r="C43" s="27" t="n"/>
      <c r="D43" s="27" t="n"/>
      <c r="E43" s="27" t="n"/>
      <c r="F43" s="27" t="n"/>
      <c r="G43" s="28">
        <f>IF(A43="","",SUMIFS(Transactions!$D$6:$D$505,Transactions!$C$6:$C$505,A43,Transactions!$B$6:$B$505,"Buy")-SUMIFS(Transactions!$D$6:$D$505,Transactions!$C$6:$C$505,A43,Transactions!$B$6:$B$505,"Sell"))</f>
        <v/>
      </c>
      <c r="H43" s="29">
        <f>IF(A43="","",IFERROR((SUMIFS(Transactions!$I$6:$I$505,Transactions!$C$6:$C$505,A43,Transactions!$B$6:$B$505,"Buy")+SUMIFS(Transactions!$H$6:$H$505,Transactions!$C$6:$C$505,A43,Transactions!$B$6:$B$505,"Buy"))/SUMIFS(Transactions!$D$6:$D$505,Transactions!$C$6:$C$505,A43,Transactions!$B$6:$B$505,"Buy"),0))</f>
        <v/>
      </c>
      <c r="I43" s="30" t="n"/>
      <c r="J43" s="31" t="n"/>
      <c r="K43" s="32">
        <f>IF(A43="","",IFERROR(G43*I43*IF(EXACT(F43,"GBp"),0.01,1)/J43,0))</f>
        <v/>
      </c>
      <c r="L43" s="33">
        <f>IF(A43="","",IFERROR(K43/$B$5,0))</f>
        <v/>
      </c>
      <c r="M43" s="32">
        <f>IF(A43="","",G43*H43)</f>
        <v/>
      </c>
      <c r="N43" s="32">
        <f>IF(A43="","",K43-M43)</f>
        <v/>
      </c>
      <c r="O43" s="33">
        <f>IF(A43="","",IFERROR(N43/M43,0))</f>
        <v/>
      </c>
      <c r="P43" s="34" t="n"/>
      <c r="Q43" s="35" t="n"/>
      <c r="R43" s="35" t="n"/>
      <c r="S43" s="33">
        <f>IF(A43="","",L43-R43)</f>
        <v/>
      </c>
      <c r="T43" s="36">
        <f>IF(A43="","",IF(ABS(S43)&lt;=Settings!$B$10,"OK",IF(S43&gt;0,"Sell ","Buy ")&amp;TEXT(ABS(S43)*$B$5,"#,##0")&amp;" €"))</f>
        <v/>
      </c>
      <c r="U43" s="27" t="n"/>
    </row>
    <row r="44">
      <c r="A44" s="27" t="n"/>
      <c r="B44" s="27" t="n"/>
      <c r="C44" s="27" t="n"/>
      <c r="D44" s="27" t="n"/>
      <c r="E44" s="27" t="n"/>
      <c r="F44" s="27" t="n"/>
      <c r="G44" s="28">
        <f>IF(A44="","",SUMIFS(Transactions!$D$6:$D$505,Transactions!$C$6:$C$505,A44,Transactions!$B$6:$B$505,"Buy")-SUMIFS(Transactions!$D$6:$D$505,Transactions!$C$6:$C$505,A44,Transactions!$B$6:$B$505,"Sell"))</f>
        <v/>
      </c>
      <c r="H44" s="29">
        <f>IF(A44="","",IFERROR((SUMIFS(Transactions!$I$6:$I$505,Transactions!$C$6:$C$505,A44,Transactions!$B$6:$B$505,"Buy")+SUMIFS(Transactions!$H$6:$H$505,Transactions!$C$6:$C$505,A44,Transactions!$B$6:$B$505,"Buy"))/SUMIFS(Transactions!$D$6:$D$505,Transactions!$C$6:$C$505,A44,Transactions!$B$6:$B$505,"Buy"),0))</f>
        <v/>
      </c>
      <c r="I44" s="30" t="n"/>
      <c r="J44" s="31" t="n"/>
      <c r="K44" s="32">
        <f>IF(A44="","",IFERROR(G44*I44*IF(EXACT(F44,"GBp"),0.01,1)/J44,0))</f>
        <v/>
      </c>
      <c r="L44" s="33">
        <f>IF(A44="","",IFERROR(K44/$B$5,0))</f>
        <v/>
      </c>
      <c r="M44" s="32">
        <f>IF(A44="","",G44*H44)</f>
        <v/>
      </c>
      <c r="N44" s="32">
        <f>IF(A44="","",K44-M44)</f>
        <v/>
      </c>
      <c r="O44" s="33">
        <f>IF(A44="","",IFERROR(N44/M44,0))</f>
        <v/>
      </c>
      <c r="P44" s="34" t="n"/>
      <c r="Q44" s="35" t="n"/>
      <c r="R44" s="35" t="n"/>
      <c r="S44" s="33">
        <f>IF(A44="","",L44-R44)</f>
        <v/>
      </c>
      <c r="T44" s="36">
        <f>IF(A44="","",IF(ABS(S44)&lt;=Settings!$B$10,"OK",IF(S44&gt;0,"Sell ","Buy ")&amp;TEXT(ABS(S44)*$B$5,"#,##0")&amp;" €"))</f>
        <v/>
      </c>
      <c r="U44" s="27" t="n"/>
    </row>
    <row r="45">
      <c r="A45" s="27" t="n"/>
      <c r="B45" s="27" t="n"/>
      <c r="C45" s="27" t="n"/>
      <c r="D45" s="27" t="n"/>
      <c r="E45" s="27" t="n"/>
      <c r="F45" s="27" t="n"/>
      <c r="G45" s="28">
        <f>IF(A45="","",SUMIFS(Transactions!$D$6:$D$505,Transactions!$C$6:$C$505,A45,Transactions!$B$6:$B$505,"Buy")-SUMIFS(Transactions!$D$6:$D$505,Transactions!$C$6:$C$505,A45,Transactions!$B$6:$B$505,"Sell"))</f>
        <v/>
      </c>
      <c r="H45" s="29">
        <f>IF(A45="","",IFERROR((SUMIFS(Transactions!$I$6:$I$505,Transactions!$C$6:$C$505,A45,Transactions!$B$6:$B$505,"Buy")+SUMIFS(Transactions!$H$6:$H$505,Transactions!$C$6:$C$505,A45,Transactions!$B$6:$B$505,"Buy"))/SUMIFS(Transactions!$D$6:$D$505,Transactions!$C$6:$C$505,A45,Transactions!$B$6:$B$505,"Buy"),0))</f>
        <v/>
      </c>
      <c r="I45" s="30" t="n"/>
      <c r="J45" s="31" t="n"/>
      <c r="K45" s="32">
        <f>IF(A45="","",IFERROR(G45*I45*IF(EXACT(F45,"GBp"),0.01,1)/J45,0))</f>
        <v/>
      </c>
      <c r="L45" s="33">
        <f>IF(A45="","",IFERROR(K45/$B$5,0))</f>
        <v/>
      </c>
      <c r="M45" s="32">
        <f>IF(A45="","",G45*H45)</f>
        <v/>
      </c>
      <c r="N45" s="32">
        <f>IF(A45="","",K45-M45)</f>
        <v/>
      </c>
      <c r="O45" s="33">
        <f>IF(A45="","",IFERROR(N45/M45,0))</f>
        <v/>
      </c>
      <c r="P45" s="34" t="n"/>
      <c r="Q45" s="35" t="n"/>
      <c r="R45" s="35" t="n"/>
      <c r="S45" s="33">
        <f>IF(A45="","",L45-R45)</f>
        <v/>
      </c>
      <c r="T45" s="36">
        <f>IF(A45="","",IF(ABS(S45)&lt;=Settings!$B$10,"OK",IF(S45&gt;0,"Sell ","Buy ")&amp;TEXT(ABS(S45)*$B$5,"#,##0")&amp;" €"))</f>
        <v/>
      </c>
      <c r="U45" s="27" t="n"/>
    </row>
    <row r="46">
      <c r="A46" s="27" t="n"/>
      <c r="B46" s="27" t="n"/>
      <c r="C46" s="27" t="n"/>
      <c r="D46" s="27" t="n"/>
      <c r="E46" s="27" t="n"/>
      <c r="F46" s="27" t="n"/>
      <c r="G46" s="28">
        <f>IF(A46="","",SUMIFS(Transactions!$D$6:$D$505,Transactions!$C$6:$C$505,A46,Transactions!$B$6:$B$505,"Buy")-SUMIFS(Transactions!$D$6:$D$505,Transactions!$C$6:$C$505,A46,Transactions!$B$6:$B$505,"Sell"))</f>
        <v/>
      </c>
      <c r="H46" s="29">
        <f>IF(A46="","",IFERROR((SUMIFS(Transactions!$I$6:$I$505,Transactions!$C$6:$C$505,A46,Transactions!$B$6:$B$505,"Buy")+SUMIFS(Transactions!$H$6:$H$505,Transactions!$C$6:$C$505,A46,Transactions!$B$6:$B$505,"Buy"))/SUMIFS(Transactions!$D$6:$D$505,Transactions!$C$6:$C$505,A46,Transactions!$B$6:$B$505,"Buy"),0))</f>
        <v/>
      </c>
      <c r="I46" s="30" t="n"/>
      <c r="J46" s="31" t="n"/>
      <c r="K46" s="32">
        <f>IF(A46="","",IFERROR(G46*I46*IF(EXACT(F46,"GBp"),0.01,1)/J46,0))</f>
        <v/>
      </c>
      <c r="L46" s="33">
        <f>IF(A46="","",IFERROR(K46/$B$5,0))</f>
        <v/>
      </c>
      <c r="M46" s="32">
        <f>IF(A46="","",G46*H46)</f>
        <v/>
      </c>
      <c r="N46" s="32">
        <f>IF(A46="","",K46-M46)</f>
        <v/>
      </c>
      <c r="O46" s="33">
        <f>IF(A46="","",IFERROR(N46/M46,0))</f>
        <v/>
      </c>
      <c r="P46" s="34" t="n"/>
      <c r="Q46" s="35" t="n"/>
      <c r="R46" s="35" t="n"/>
      <c r="S46" s="33">
        <f>IF(A46="","",L46-R46)</f>
        <v/>
      </c>
      <c r="T46" s="36">
        <f>IF(A46="","",IF(ABS(S46)&lt;=Settings!$B$10,"OK",IF(S46&gt;0,"Sell ","Buy ")&amp;TEXT(ABS(S46)*$B$5,"#,##0")&amp;" €"))</f>
        <v/>
      </c>
      <c r="U46" s="27" t="n"/>
    </row>
    <row r="47">
      <c r="A47" s="27" t="n"/>
      <c r="B47" s="27" t="n"/>
      <c r="C47" s="27" t="n"/>
      <c r="D47" s="27" t="n"/>
      <c r="E47" s="27" t="n"/>
      <c r="F47" s="27" t="n"/>
      <c r="G47" s="28">
        <f>IF(A47="","",SUMIFS(Transactions!$D$6:$D$505,Transactions!$C$6:$C$505,A47,Transactions!$B$6:$B$505,"Buy")-SUMIFS(Transactions!$D$6:$D$505,Transactions!$C$6:$C$505,A47,Transactions!$B$6:$B$505,"Sell"))</f>
        <v/>
      </c>
      <c r="H47" s="29">
        <f>IF(A47="","",IFERROR((SUMIFS(Transactions!$I$6:$I$505,Transactions!$C$6:$C$505,A47,Transactions!$B$6:$B$505,"Buy")+SUMIFS(Transactions!$H$6:$H$505,Transactions!$C$6:$C$505,A47,Transactions!$B$6:$B$505,"Buy"))/SUMIFS(Transactions!$D$6:$D$505,Transactions!$C$6:$C$505,A47,Transactions!$B$6:$B$505,"Buy"),0))</f>
        <v/>
      </c>
      <c r="I47" s="30" t="n"/>
      <c r="J47" s="31" t="n"/>
      <c r="K47" s="32">
        <f>IF(A47="","",IFERROR(G47*I47*IF(EXACT(F47,"GBp"),0.01,1)/J47,0))</f>
        <v/>
      </c>
      <c r="L47" s="33">
        <f>IF(A47="","",IFERROR(K47/$B$5,0))</f>
        <v/>
      </c>
      <c r="M47" s="32">
        <f>IF(A47="","",G47*H47)</f>
        <v/>
      </c>
      <c r="N47" s="32">
        <f>IF(A47="","",K47-M47)</f>
        <v/>
      </c>
      <c r="O47" s="33">
        <f>IF(A47="","",IFERROR(N47/M47,0))</f>
        <v/>
      </c>
      <c r="P47" s="34" t="n"/>
      <c r="Q47" s="35" t="n"/>
      <c r="R47" s="35" t="n"/>
      <c r="S47" s="33">
        <f>IF(A47="","",L47-R47)</f>
        <v/>
      </c>
      <c r="T47" s="36">
        <f>IF(A47="","",IF(ABS(S47)&lt;=Settings!$B$10,"OK",IF(S47&gt;0,"Sell ","Buy ")&amp;TEXT(ABS(S47)*$B$5,"#,##0")&amp;" €"))</f>
        <v/>
      </c>
      <c r="U47" s="27" t="n"/>
    </row>
    <row r="48">
      <c r="A48" s="37" t="inlineStr">
        <is>
          <t>Total</t>
        </is>
      </c>
      <c r="K48" s="38">
        <f>SUM(K8:K47)</f>
        <v/>
      </c>
      <c r="L48" s="39">
        <f>SUM(L8:L47)</f>
        <v/>
      </c>
      <c r="M48" s="38">
        <f>SUM(M8:M47)</f>
        <v/>
      </c>
      <c r="N48" s="38">
        <f>SUM(N8:N47)</f>
        <v/>
      </c>
      <c r="O48" s="39">
        <f>IFERROR(N48/M48,0)</f>
        <v/>
      </c>
      <c r="R48" s="39">
        <f>SUM(R8:R47)</f>
        <v/>
      </c>
    </row>
    <row r="49">
      <c r="A49" s="37" t="inlineStr">
        <is>
          <t>Cash</t>
        </is>
      </c>
      <c r="K49" s="38">
        <f>B4</f>
        <v/>
      </c>
      <c r="L49" s="39">
        <f>IFERROR(B4/B5,0)</f>
        <v/>
      </c>
    </row>
  </sheetData>
  <conditionalFormatting sqref="N8:O47">
    <cfRule type="cellIs" priority="1" operator="lessThan" dxfId="0">
      <formula>0</formula>
    </cfRule>
    <cfRule type="cellIs" priority="2" operator="greaterThan" dxfId="1">
      <formula>0</formula>
    </cfRule>
  </conditionalFormatting>
  <conditionalFormatting sqref="T8:T47">
    <cfRule type="expression" priority="3" dxfId="2">
      <formula>AND(T8&lt;&gt;"",T8&lt;&gt;"OK")</formula>
    </cfRule>
  </conditionalFormatting>
  <dataValidations count="3">
    <dataValidation sqref="C8:C47" showDropDown="0" showInputMessage="0" showErrorMessage="0" allowBlank="1" type="list">
      <formula1>=Settings!$E$14:$E$18</formula1>
    </dataValidation>
    <dataValidation sqref="D8:D47" showDropDown="0" showInputMessage="0" showErrorMessage="0" allowBlank="1" type="list">
      <formula1>=Settings!$A$15:$A$17</formula1>
    </dataValidation>
    <dataValidation sqref="E8:E47" showDropDown="0" showInputMessage="0" showErrorMessage="0" allowBlank="1" type="list">
      <formula1>=Settings!$F$14:$F$19</formula1>
    </dataValidation>
  </dataValidations>
  <pageMargins left="0.75" right="0.75" top="1" bottom="1" header="0.5" footer="0.5"/>
</worksheet>
</file>

<file path=xl/worksheets/sheet4.xml><?xml version="1.0" encoding="utf-8"?>
<worksheet xmlns="http://schemas.openxmlformats.org/spreadsheetml/2006/main">
  <sheetPr>
    <tabColor rgb="002A78D6"/>
    <outlinePr summaryBelow="1" summaryRight="1"/>
    <pageSetUpPr/>
  </sheetPr>
  <dimension ref="A1:L505"/>
  <sheetViews>
    <sheetView showGridLines="0" workbookViewId="0">
      <pane ySplit="5" topLeftCell="A6" activePane="bottomLeft" state="frozen"/>
      <selection pane="bottomLeft" activeCell="A1" sqref="A1"/>
    </sheetView>
  </sheetViews>
  <sheetFormatPr baseColWidth="8" defaultRowHeight="15"/>
  <cols>
    <col width="12" customWidth="1" min="1" max="1"/>
    <col width="12" customWidth="1" min="2" max="2"/>
    <col width="18" customWidth="1" min="3" max="3"/>
    <col width="10" customWidth="1" min="4" max="4"/>
    <col width="14" customWidth="1" min="5" max="5"/>
    <col width="11" customWidth="1" min="6" max="6"/>
    <col width="12" customWidth="1" min="7" max="7"/>
    <col width="11" customWidth="1" min="8" max="8"/>
    <col width="15" customWidth="1" min="9" max="9"/>
    <col width="15" customWidth="1" min="10" max="10"/>
    <col width="15" customWidth="1" min="11" max="11"/>
    <col width="40" customWidth="1" min="12" max="12"/>
  </cols>
  <sheetData>
    <row r="1">
      <c r="A1" s="1" t="inlineStr">
        <is>
          <t>Transactions</t>
        </is>
      </c>
    </row>
    <row r="2">
      <c r="A2" s="2" t="inlineStr">
        <is>
          <t>One row per event. Buy/Sell amounts are computed from quantity × price ÷ FX. For deposits, withdrawals, dividends and fees type the EUR amount in column J.</t>
        </is>
      </c>
    </row>
    <row r="5" ht="32" customHeight="1">
      <c r="A5" s="16" t="inlineStr">
        <is>
          <t>Date</t>
        </is>
      </c>
      <c r="B5" s="16" t="inlineStr">
        <is>
          <t>Type</t>
        </is>
      </c>
      <c r="C5" s="16" t="inlineStr">
        <is>
          <t>Ticker</t>
        </is>
      </c>
      <c r="D5" s="16" t="inlineStr">
        <is>
          <t>Quantity</t>
        </is>
      </c>
      <c r="E5" s="16" t="inlineStr">
        <is>
          <t>Price (quote ccy)</t>
        </is>
      </c>
      <c r="F5" s="16" t="inlineStr">
        <is>
          <t>Quote currency</t>
        </is>
      </c>
      <c r="G5" s="16" t="inlineStr">
        <is>
          <t>FX (ccy per 1 EUR)</t>
        </is>
      </c>
      <c r="H5" s="16" t="inlineStr">
        <is>
          <t>Fees (EUR)</t>
        </is>
      </c>
      <c r="I5" s="16" t="inlineStr">
        <is>
          <t>Gross amount (EUR)</t>
        </is>
      </c>
      <c r="J5" s="16" t="inlineStr">
        <is>
          <t>Cash amount (EUR)</t>
        </is>
      </c>
      <c r="K5" s="16" t="inlineStr">
        <is>
          <t>Cash impact (EUR)</t>
        </is>
      </c>
      <c r="L5" s="16" t="inlineStr">
        <is>
          <t>Comment</t>
        </is>
      </c>
    </row>
    <row r="6">
      <c r="A6" s="40" t="n">
        <v>45688</v>
      </c>
      <c r="B6" s="17" t="inlineStr">
        <is>
          <t>Deposit</t>
        </is>
      </c>
      <c r="C6" s="17" t="inlineStr"/>
      <c r="D6" s="41" t="n"/>
      <c r="E6" s="20" t="n"/>
      <c r="F6" s="17" t="inlineStr">
        <is>
          <t>EUR</t>
        </is>
      </c>
      <c r="G6" s="21" t="n"/>
      <c r="H6" s="42" t="n">
        <v>0</v>
      </c>
      <c r="I6" s="19">
        <f>IF(OR(B6="Buy",B6="Sell"),D6*E6*IF(EXACT(F6,"GBp"),0.01,1)/IF(G6="",1,G6),"")</f>
        <v/>
      </c>
      <c r="J6" s="42" t="n">
        <v>10000</v>
      </c>
      <c r="K6" s="19">
        <f>IF(B6="","",IF(B6="Deposit",J6,IF(B6="Withdrawal",-J6,IF(B6="Buy",-(I6+H6),IF(B6="Sell",I6-H6,IF(B6="Dividend",J6,IF(B6="Fee",-J6,0)))))))</f>
        <v/>
      </c>
      <c r="L6" s="17" t="inlineStr">
        <is>
          <t>Initial deposit</t>
        </is>
      </c>
    </row>
    <row r="7">
      <c r="A7" s="40" t="n">
        <v>45691</v>
      </c>
      <c r="B7" s="17" t="inlineStr">
        <is>
          <t>Buy</t>
        </is>
      </c>
      <c r="C7" s="17" t="inlineStr">
        <is>
          <t>IWDA LN Equity</t>
        </is>
      </c>
      <c r="D7" s="41" t="n">
        <v>35</v>
      </c>
      <c r="E7" s="20" t="n">
        <v>101.2</v>
      </c>
      <c r="F7" s="17" t="inlineStr">
        <is>
          <t>USD</t>
        </is>
      </c>
      <c r="G7" s="21" t="n">
        <v>1.036</v>
      </c>
      <c r="H7" s="42" t="n">
        <v>3</v>
      </c>
      <c r="I7" s="19">
        <f>IF(OR(B7="Buy",B7="Sell"),D7*E7*IF(EXACT(F7,"GBp"),0.01,1)/IF(G7="",1,G7),"")</f>
        <v/>
      </c>
      <c r="J7" s="42" t="n"/>
      <c r="K7" s="19">
        <f>IF(B7="","",IF(B7="Deposit",J7,IF(B7="Withdrawal",-J7,IF(B7="Buy",-(I7+H7),IF(B7="Sell",I7-H7,IF(B7="Dividend",J7,IF(B7="Fee",-J7,0)))))))</f>
        <v/>
      </c>
      <c r="L7" s="17" t="inlineStr">
        <is>
          <t>Value sleeve</t>
        </is>
      </c>
    </row>
    <row r="8">
      <c r="A8" s="40" t="n">
        <v>45691</v>
      </c>
      <c r="B8" s="17" t="inlineStr">
        <is>
          <t>Buy</t>
        </is>
      </c>
      <c r="C8" s="17" t="inlineStr">
        <is>
          <t>EXS1 GY Equity</t>
        </is>
      </c>
      <c r="D8" s="41" t="n">
        <v>9</v>
      </c>
      <c r="E8" s="20" t="n">
        <v>182.5</v>
      </c>
      <c r="F8" s="17" t="inlineStr">
        <is>
          <t>EUR</t>
        </is>
      </c>
      <c r="G8" s="21" t="n">
        <v>1</v>
      </c>
      <c r="H8" s="42" t="n">
        <v>3</v>
      </c>
      <c r="I8" s="19">
        <f>IF(OR(B8="Buy",B8="Sell"),D8*E8*IF(EXACT(F8,"GBp"),0.01,1)/IF(G8="",1,G8),"")</f>
        <v/>
      </c>
      <c r="J8" s="42" t="n"/>
      <c r="K8" s="19">
        <f>IF(B8="","",IF(B8="Deposit",J8,IF(B8="Withdrawal",-J8,IF(B8="Buy",-(I8+H8),IF(B8="Sell",I8-H8,IF(B8="Dividend",J8,IF(B8="Fee",-J8,0)))))))</f>
        <v/>
      </c>
      <c r="L8" s="17" t="inlineStr">
        <is>
          <t>Value sleeve</t>
        </is>
      </c>
    </row>
    <row r="9">
      <c r="A9" s="40" t="n">
        <v>45691</v>
      </c>
      <c r="B9" s="17" t="inlineStr">
        <is>
          <t>Buy</t>
        </is>
      </c>
      <c r="C9" s="17" t="inlineStr">
        <is>
          <t>SGLN LN Equity</t>
        </is>
      </c>
      <c r="D9" s="41" t="n">
        <v>18</v>
      </c>
      <c r="E9" s="20" t="n">
        <v>4620</v>
      </c>
      <c r="F9" s="17" t="inlineStr">
        <is>
          <t>GBp</t>
        </is>
      </c>
      <c r="G9" s="21" t="n">
        <v>0.832</v>
      </c>
      <c r="H9" s="42" t="n">
        <v>3</v>
      </c>
      <c r="I9" s="19">
        <f>IF(OR(B9="Buy",B9="Sell"),D9*E9*IF(EXACT(F9,"GBp"),0.01,1)/IF(G9="",1,G9),"")</f>
        <v/>
      </c>
      <c r="J9" s="42" t="n"/>
      <c r="K9" s="19">
        <f>IF(B9="","",IF(B9="Deposit",J9,IF(B9="Withdrawal",-J9,IF(B9="Buy",-(I9+H9),IF(B9="Sell",I9-H9,IF(B9="Dividend",J9,IF(B9="Fee",-J9,0)))))))</f>
        <v/>
      </c>
      <c r="L9" s="17" t="inlineStr">
        <is>
          <t>Trend signal: gold long</t>
        </is>
      </c>
    </row>
    <row r="10">
      <c r="A10" s="40" t="n">
        <v>45691</v>
      </c>
      <c r="B10" s="17" t="inlineStr">
        <is>
          <t>Buy</t>
        </is>
      </c>
      <c r="C10" s="17" t="inlineStr">
        <is>
          <t>XEON GY Equity</t>
        </is>
      </c>
      <c r="D10" s="41" t="n">
        <v>12</v>
      </c>
      <c r="E10" s="20" t="n">
        <v>144.1</v>
      </c>
      <c r="F10" s="17" t="inlineStr">
        <is>
          <t>EUR</t>
        </is>
      </c>
      <c r="G10" s="21" t="n">
        <v>1</v>
      </c>
      <c r="H10" s="42" t="n">
        <v>2</v>
      </c>
      <c r="I10" s="19">
        <f>IF(OR(B10="Buy",B10="Sell"),D10*E10*IF(EXACT(F10,"GBp"),0.01,1)/IF(G10="",1,G10),"")</f>
        <v/>
      </c>
      <c r="J10" s="42" t="n"/>
      <c r="K10" s="19">
        <f>IF(B10="","",IF(B10="Deposit",J10,IF(B10="Withdrawal",-J10,IF(B10="Buy",-(I10+H10),IF(B10="Sell",I10-H10,IF(B10="Dividend",J10,IF(B10="Fee",-J10,0)))))))</f>
        <v/>
      </c>
      <c r="L10" s="17" t="inlineStr">
        <is>
          <t>Cash buffer</t>
        </is>
      </c>
    </row>
    <row r="11">
      <c r="A11" s="40" t="n">
        <v>45869</v>
      </c>
      <c r="B11" s="17" t="inlineStr">
        <is>
          <t>Deposit</t>
        </is>
      </c>
      <c r="C11" s="17" t="inlineStr"/>
      <c r="D11" s="41" t="n"/>
      <c r="E11" s="20" t="n"/>
      <c r="F11" s="17" t="inlineStr">
        <is>
          <t>EUR</t>
        </is>
      </c>
      <c r="G11" s="21" t="n"/>
      <c r="H11" s="42" t="n">
        <v>0</v>
      </c>
      <c r="I11" s="19">
        <f>IF(OR(B11="Buy",B11="Sell"),D11*E11*IF(EXACT(F11,"GBp"),0.01,1)/IF(G11="",1,G11),"")</f>
        <v/>
      </c>
      <c r="J11" s="42" t="n">
        <v>2000</v>
      </c>
      <c r="K11" s="19">
        <f>IF(B11="","",IF(B11="Deposit",J11,IF(B11="Withdrawal",-J11,IF(B11="Buy",-(I11+H11),IF(B11="Sell",I11-H11,IF(B11="Dividend",J11,IF(B11="Fee",-J11,0)))))))</f>
        <v/>
      </c>
      <c r="L11" s="17" t="inlineStr">
        <is>
          <t>Monthly savings</t>
        </is>
      </c>
    </row>
    <row r="12">
      <c r="A12" s="40" t="n">
        <v>45870</v>
      </c>
      <c r="B12" s="17" t="inlineStr">
        <is>
          <t>Buy</t>
        </is>
      </c>
      <c r="C12" s="17" t="inlineStr">
        <is>
          <t>IBTM LN Equity</t>
        </is>
      </c>
      <c r="D12" s="41" t="n">
        <v>9</v>
      </c>
      <c r="E12" s="20" t="n">
        <v>160.4</v>
      </c>
      <c r="F12" s="17" t="inlineStr">
        <is>
          <t>USD</t>
        </is>
      </c>
      <c r="G12" s="21" t="n">
        <v>1.142</v>
      </c>
      <c r="H12" s="42" t="n">
        <v>3</v>
      </c>
      <c r="I12" s="19">
        <f>IF(OR(B12="Buy",B12="Sell"),D12*E12*IF(EXACT(F12,"GBp"),0.01,1)/IF(G12="",1,G12),"")</f>
        <v/>
      </c>
      <c r="J12" s="42" t="n"/>
      <c r="K12" s="19">
        <f>IF(B12="","",IF(B12="Deposit",J12,IF(B12="Withdrawal",-J12,IF(B12="Buy",-(I12+H12),IF(B12="Sell",I12-H12,IF(B12="Dividend",J12,IF(B12="Fee",-J12,0)))))))</f>
        <v/>
      </c>
      <c r="L12" s="17" t="inlineStr">
        <is>
          <t>Trend signal: Treasuries long</t>
        </is>
      </c>
    </row>
    <row r="13">
      <c r="A13" s="40" t="n">
        <v>45870</v>
      </c>
      <c r="B13" s="17" t="inlineStr">
        <is>
          <t>Buy</t>
        </is>
      </c>
      <c r="C13" s="17" t="inlineStr">
        <is>
          <t>IWDA LN Equity</t>
        </is>
      </c>
      <c r="D13" s="41" t="n">
        <v>4</v>
      </c>
      <c r="E13" s="20" t="n">
        <v>108.9</v>
      </c>
      <c r="F13" s="17" t="inlineStr">
        <is>
          <t>USD</t>
        </is>
      </c>
      <c r="G13" s="21" t="n">
        <v>1.142</v>
      </c>
      <c r="H13" s="42" t="n">
        <v>3</v>
      </c>
      <c r="I13" s="19">
        <f>IF(OR(B13="Buy",B13="Sell"),D13*E13*IF(EXACT(F13,"GBp"),0.01,1)/IF(G13="",1,G13),"")</f>
        <v/>
      </c>
      <c r="J13" s="42" t="n"/>
      <c r="K13" s="19">
        <f>IF(B13="","",IF(B13="Deposit",J13,IF(B13="Withdrawal",-J13,IF(B13="Buy",-(I13+H13),IF(B13="Sell",I13-H13,IF(B13="Dividend",J13,IF(B13="Fee",-J13,0)))))))</f>
        <v/>
      </c>
      <c r="L13" s="17" t="inlineStr">
        <is>
          <t>Rebalance to target</t>
        </is>
      </c>
    </row>
    <row r="14">
      <c r="A14" s="40" t="n">
        <v>46083</v>
      </c>
      <c r="B14" s="17" t="inlineStr">
        <is>
          <t>Sell</t>
        </is>
      </c>
      <c r="C14" s="17" t="inlineStr">
        <is>
          <t>IBTM LN Equity</t>
        </is>
      </c>
      <c r="D14" s="41" t="n">
        <v>3</v>
      </c>
      <c r="E14" s="20" t="n">
        <v>164</v>
      </c>
      <c r="F14" s="17" t="inlineStr">
        <is>
          <t>USD</t>
        </is>
      </c>
      <c r="G14" s="21" t="n">
        <v>1.118</v>
      </c>
      <c r="H14" s="42" t="n">
        <v>3</v>
      </c>
      <c r="I14" s="19">
        <f>IF(OR(B14="Buy",B14="Sell"),D14*E14*IF(EXACT(F14,"GBp"),0.01,1)/IF(G14="",1,G14),"")</f>
        <v/>
      </c>
      <c r="J14" s="42" t="n"/>
      <c r="K14" s="19">
        <f>IF(B14="","",IF(B14="Deposit",J14,IF(B14="Withdrawal",-J14,IF(B14="Buy",-(I14+H14),IF(B14="Sell",I14-H14,IF(B14="Dividend",J14,IF(B14="Fee",-J14,0)))))))</f>
        <v/>
      </c>
      <c r="L14" s="17" t="inlineStr">
        <is>
          <t>Trend signal weakened</t>
        </is>
      </c>
    </row>
    <row r="15">
      <c r="A15" s="40" t="n">
        <v>46112</v>
      </c>
      <c r="B15" s="17" t="inlineStr">
        <is>
          <t>Fee</t>
        </is>
      </c>
      <c r="C15" s="17" t="inlineStr"/>
      <c r="D15" s="41" t="n"/>
      <c r="E15" s="20" t="n"/>
      <c r="F15" s="17" t="inlineStr">
        <is>
          <t>EUR</t>
        </is>
      </c>
      <c r="G15" s="21" t="n"/>
      <c r="H15" s="42" t="n">
        <v>0</v>
      </c>
      <c r="I15" s="19">
        <f>IF(OR(B15="Buy",B15="Sell"),D15*E15*IF(EXACT(F15,"GBp"),0.01,1)/IF(G15="",1,G15),"")</f>
        <v/>
      </c>
      <c r="J15" s="42" t="n">
        <v>5</v>
      </c>
      <c r="K15" s="19">
        <f>IF(B15="","",IF(B15="Deposit",J15,IF(B15="Withdrawal",-J15,IF(B15="Buy",-(I15+H15),IF(B15="Sell",I15-H15,IF(B15="Dividend",J15,IF(B15="Fee",-J15,0)))))))</f>
        <v/>
      </c>
      <c r="L15" s="17" t="inlineStr">
        <is>
          <t>Platform fee</t>
        </is>
      </c>
    </row>
    <row r="16">
      <c r="A16" s="43" t="n"/>
      <c r="B16" s="27" t="n"/>
      <c r="C16" s="27" t="n"/>
      <c r="D16" s="44" t="n"/>
      <c r="E16" s="30" t="n"/>
      <c r="F16" s="27" t="n"/>
      <c r="G16" s="31" t="n"/>
      <c r="H16" s="45" t="n"/>
      <c r="I16" s="29">
        <f>IF(OR(B16="Buy",B16="Sell"),D16*E16*IF(EXACT(F16,"GBp"),0.01,1)/IF(G16="",1,G16),"")</f>
        <v/>
      </c>
      <c r="J16" s="45" t="n"/>
      <c r="K16" s="29">
        <f>IF(B16="","",IF(B16="Deposit",J16,IF(B16="Withdrawal",-J16,IF(B16="Buy",-(I16+H16),IF(B16="Sell",I16-H16,IF(B16="Dividend",J16,IF(B16="Fee",-J16,0)))))))</f>
        <v/>
      </c>
      <c r="L16" s="27" t="n"/>
    </row>
    <row r="17">
      <c r="A17" s="43" t="n"/>
      <c r="B17" s="27" t="n"/>
      <c r="C17" s="27" t="n"/>
      <c r="D17" s="44" t="n"/>
      <c r="E17" s="30" t="n"/>
      <c r="F17" s="27" t="n"/>
      <c r="G17" s="31" t="n"/>
      <c r="H17" s="45" t="n"/>
      <c r="I17" s="29">
        <f>IF(OR(B17="Buy",B17="Sell"),D17*E17*IF(EXACT(F17,"GBp"),0.01,1)/IF(G17="",1,G17),"")</f>
        <v/>
      </c>
      <c r="J17" s="45" t="n"/>
      <c r="K17" s="29">
        <f>IF(B17="","",IF(B17="Deposit",J17,IF(B17="Withdrawal",-J17,IF(B17="Buy",-(I17+H17),IF(B17="Sell",I17-H17,IF(B17="Dividend",J17,IF(B17="Fee",-J17,0)))))))</f>
        <v/>
      </c>
      <c r="L17" s="27" t="n"/>
    </row>
    <row r="18">
      <c r="A18" s="43" t="n"/>
      <c r="B18" s="27" t="n"/>
      <c r="C18" s="27" t="n"/>
      <c r="D18" s="44" t="n"/>
      <c r="E18" s="30" t="n"/>
      <c r="F18" s="27" t="n"/>
      <c r="G18" s="31" t="n"/>
      <c r="H18" s="45" t="n"/>
      <c r="I18" s="29">
        <f>IF(OR(B18="Buy",B18="Sell"),D18*E18*IF(EXACT(F18,"GBp"),0.01,1)/IF(G18="",1,G18),"")</f>
        <v/>
      </c>
      <c r="J18" s="45" t="n"/>
      <c r="K18" s="29">
        <f>IF(B18="","",IF(B18="Deposit",J18,IF(B18="Withdrawal",-J18,IF(B18="Buy",-(I18+H18),IF(B18="Sell",I18-H18,IF(B18="Dividend",J18,IF(B18="Fee",-J18,0)))))))</f>
        <v/>
      </c>
      <c r="L18" s="27" t="n"/>
    </row>
    <row r="19">
      <c r="A19" s="43" t="n"/>
      <c r="B19" s="27" t="n"/>
      <c r="C19" s="27" t="n"/>
      <c r="D19" s="44" t="n"/>
      <c r="E19" s="30" t="n"/>
      <c r="F19" s="27" t="n"/>
      <c r="G19" s="31" t="n"/>
      <c r="H19" s="45" t="n"/>
      <c r="I19" s="29">
        <f>IF(OR(B19="Buy",B19="Sell"),D19*E19*IF(EXACT(F19,"GBp"),0.01,1)/IF(G19="",1,G19),"")</f>
        <v/>
      </c>
      <c r="J19" s="45" t="n"/>
      <c r="K19" s="29">
        <f>IF(B19="","",IF(B19="Deposit",J19,IF(B19="Withdrawal",-J19,IF(B19="Buy",-(I19+H19),IF(B19="Sell",I19-H19,IF(B19="Dividend",J19,IF(B19="Fee",-J19,0)))))))</f>
        <v/>
      </c>
      <c r="L19" s="27" t="n"/>
    </row>
    <row r="20">
      <c r="A20" s="43" t="n"/>
      <c r="B20" s="27" t="n"/>
      <c r="C20" s="27" t="n"/>
      <c r="D20" s="44" t="n"/>
      <c r="E20" s="30" t="n"/>
      <c r="F20" s="27" t="n"/>
      <c r="G20" s="31" t="n"/>
      <c r="H20" s="45" t="n"/>
      <c r="I20" s="29">
        <f>IF(OR(B20="Buy",B20="Sell"),D20*E20*IF(EXACT(F20,"GBp"),0.01,1)/IF(G20="",1,G20),"")</f>
        <v/>
      </c>
      <c r="J20" s="45" t="n"/>
      <c r="K20" s="29">
        <f>IF(B20="","",IF(B20="Deposit",J20,IF(B20="Withdrawal",-J20,IF(B20="Buy",-(I20+H20),IF(B20="Sell",I20-H20,IF(B20="Dividend",J20,IF(B20="Fee",-J20,0)))))))</f>
        <v/>
      </c>
      <c r="L20" s="27" t="n"/>
    </row>
    <row r="21">
      <c r="A21" s="43" t="n"/>
      <c r="B21" s="27" t="n"/>
      <c r="C21" s="27" t="n"/>
      <c r="D21" s="44" t="n"/>
      <c r="E21" s="30" t="n"/>
      <c r="F21" s="27" t="n"/>
      <c r="G21" s="31" t="n"/>
      <c r="H21" s="45" t="n"/>
      <c r="I21" s="29">
        <f>IF(OR(B21="Buy",B21="Sell"),D21*E21*IF(EXACT(F21,"GBp"),0.01,1)/IF(G21="",1,G21),"")</f>
        <v/>
      </c>
      <c r="J21" s="45" t="n"/>
      <c r="K21" s="29">
        <f>IF(B21="","",IF(B21="Deposit",J21,IF(B21="Withdrawal",-J21,IF(B21="Buy",-(I21+H21),IF(B21="Sell",I21-H21,IF(B21="Dividend",J21,IF(B21="Fee",-J21,0)))))))</f>
        <v/>
      </c>
      <c r="L21" s="27" t="n"/>
    </row>
    <row r="22">
      <c r="A22" s="43" t="n"/>
      <c r="B22" s="27" t="n"/>
      <c r="C22" s="27" t="n"/>
      <c r="D22" s="44" t="n"/>
      <c r="E22" s="30" t="n"/>
      <c r="F22" s="27" t="n"/>
      <c r="G22" s="31" t="n"/>
      <c r="H22" s="45" t="n"/>
      <c r="I22" s="29">
        <f>IF(OR(B22="Buy",B22="Sell"),D22*E22*IF(EXACT(F22,"GBp"),0.01,1)/IF(G22="",1,G22),"")</f>
        <v/>
      </c>
      <c r="J22" s="45" t="n"/>
      <c r="K22" s="29">
        <f>IF(B22="","",IF(B22="Deposit",J22,IF(B22="Withdrawal",-J22,IF(B22="Buy",-(I22+H22),IF(B22="Sell",I22-H22,IF(B22="Dividend",J22,IF(B22="Fee",-J22,0)))))))</f>
        <v/>
      </c>
      <c r="L22" s="27" t="n"/>
    </row>
    <row r="23">
      <c r="A23" s="43" t="n"/>
      <c r="B23" s="27" t="n"/>
      <c r="C23" s="27" t="n"/>
      <c r="D23" s="44" t="n"/>
      <c r="E23" s="30" t="n"/>
      <c r="F23" s="27" t="n"/>
      <c r="G23" s="31" t="n"/>
      <c r="H23" s="45" t="n"/>
      <c r="I23" s="29">
        <f>IF(OR(B23="Buy",B23="Sell"),D23*E23*IF(EXACT(F23,"GBp"),0.01,1)/IF(G23="",1,G23),"")</f>
        <v/>
      </c>
      <c r="J23" s="45" t="n"/>
      <c r="K23" s="29">
        <f>IF(B23="","",IF(B23="Deposit",J23,IF(B23="Withdrawal",-J23,IF(B23="Buy",-(I23+H23),IF(B23="Sell",I23-H23,IF(B23="Dividend",J23,IF(B23="Fee",-J23,0)))))))</f>
        <v/>
      </c>
      <c r="L23" s="27" t="n"/>
    </row>
    <row r="24">
      <c r="A24" s="43" t="n"/>
      <c r="B24" s="27" t="n"/>
      <c r="C24" s="27" t="n"/>
      <c r="D24" s="44" t="n"/>
      <c r="E24" s="30" t="n"/>
      <c r="F24" s="27" t="n"/>
      <c r="G24" s="31" t="n"/>
      <c r="H24" s="45" t="n"/>
      <c r="I24" s="29">
        <f>IF(OR(B24="Buy",B24="Sell"),D24*E24*IF(EXACT(F24,"GBp"),0.01,1)/IF(G24="",1,G24),"")</f>
        <v/>
      </c>
      <c r="J24" s="45" t="n"/>
      <c r="K24" s="29">
        <f>IF(B24="","",IF(B24="Deposit",J24,IF(B24="Withdrawal",-J24,IF(B24="Buy",-(I24+H24),IF(B24="Sell",I24-H24,IF(B24="Dividend",J24,IF(B24="Fee",-J24,0)))))))</f>
        <v/>
      </c>
      <c r="L24" s="27" t="n"/>
    </row>
    <row r="25">
      <c r="A25" s="43" t="n"/>
      <c r="B25" s="27" t="n"/>
      <c r="C25" s="27" t="n"/>
      <c r="D25" s="44" t="n"/>
      <c r="E25" s="30" t="n"/>
      <c r="F25" s="27" t="n"/>
      <c r="G25" s="31" t="n"/>
      <c r="H25" s="45" t="n"/>
      <c r="I25" s="29">
        <f>IF(OR(B25="Buy",B25="Sell"),D25*E25*IF(EXACT(F25,"GBp"),0.01,1)/IF(G25="",1,G25),"")</f>
        <v/>
      </c>
      <c r="J25" s="45" t="n"/>
      <c r="K25" s="29">
        <f>IF(B25="","",IF(B25="Deposit",J25,IF(B25="Withdrawal",-J25,IF(B25="Buy",-(I25+H25),IF(B25="Sell",I25-H25,IF(B25="Dividend",J25,IF(B25="Fee",-J25,0)))))))</f>
        <v/>
      </c>
      <c r="L25" s="27" t="n"/>
    </row>
    <row r="26">
      <c r="A26" s="43" t="n"/>
      <c r="B26" s="27" t="n"/>
      <c r="C26" s="27" t="n"/>
      <c r="D26" s="44" t="n"/>
      <c r="E26" s="30" t="n"/>
      <c r="F26" s="27" t="n"/>
      <c r="G26" s="31" t="n"/>
      <c r="H26" s="45" t="n"/>
      <c r="I26" s="29">
        <f>IF(OR(B26="Buy",B26="Sell"),D26*E26*IF(EXACT(F26,"GBp"),0.01,1)/IF(G26="",1,G26),"")</f>
        <v/>
      </c>
      <c r="J26" s="45" t="n"/>
      <c r="K26" s="29">
        <f>IF(B26="","",IF(B26="Deposit",J26,IF(B26="Withdrawal",-J26,IF(B26="Buy",-(I26+H26),IF(B26="Sell",I26-H26,IF(B26="Dividend",J26,IF(B26="Fee",-J26,0)))))))</f>
        <v/>
      </c>
      <c r="L26" s="27" t="n"/>
    </row>
    <row r="27">
      <c r="A27" s="43" t="n"/>
      <c r="B27" s="27" t="n"/>
      <c r="C27" s="27" t="n"/>
      <c r="D27" s="44" t="n"/>
      <c r="E27" s="30" t="n"/>
      <c r="F27" s="27" t="n"/>
      <c r="G27" s="31" t="n"/>
      <c r="H27" s="45" t="n"/>
      <c r="I27" s="29">
        <f>IF(OR(B27="Buy",B27="Sell"),D27*E27*IF(EXACT(F27,"GBp"),0.01,1)/IF(G27="",1,G27),"")</f>
        <v/>
      </c>
      <c r="J27" s="45" t="n"/>
      <c r="K27" s="29">
        <f>IF(B27="","",IF(B27="Deposit",J27,IF(B27="Withdrawal",-J27,IF(B27="Buy",-(I27+H27),IF(B27="Sell",I27-H27,IF(B27="Dividend",J27,IF(B27="Fee",-J27,0)))))))</f>
        <v/>
      </c>
      <c r="L27" s="27" t="n"/>
    </row>
    <row r="28">
      <c r="A28" s="43" t="n"/>
      <c r="B28" s="27" t="n"/>
      <c r="C28" s="27" t="n"/>
      <c r="D28" s="44" t="n"/>
      <c r="E28" s="30" t="n"/>
      <c r="F28" s="27" t="n"/>
      <c r="G28" s="31" t="n"/>
      <c r="H28" s="45" t="n"/>
      <c r="I28" s="29">
        <f>IF(OR(B28="Buy",B28="Sell"),D28*E28*IF(EXACT(F28,"GBp"),0.01,1)/IF(G28="",1,G28),"")</f>
        <v/>
      </c>
      <c r="J28" s="45" t="n"/>
      <c r="K28" s="29">
        <f>IF(B28="","",IF(B28="Deposit",J28,IF(B28="Withdrawal",-J28,IF(B28="Buy",-(I28+H28),IF(B28="Sell",I28-H28,IF(B28="Dividend",J28,IF(B28="Fee",-J28,0)))))))</f>
        <v/>
      </c>
      <c r="L28" s="27" t="n"/>
    </row>
    <row r="29">
      <c r="A29" s="43" t="n"/>
      <c r="B29" s="27" t="n"/>
      <c r="C29" s="27" t="n"/>
      <c r="D29" s="44" t="n"/>
      <c r="E29" s="30" t="n"/>
      <c r="F29" s="27" t="n"/>
      <c r="G29" s="31" t="n"/>
      <c r="H29" s="45" t="n"/>
      <c r="I29" s="29">
        <f>IF(OR(B29="Buy",B29="Sell"),D29*E29*IF(EXACT(F29,"GBp"),0.01,1)/IF(G29="",1,G29),"")</f>
        <v/>
      </c>
      <c r="J29" s="45" t="n"/>
      <c r="K29" s="29">
        <f>IF(B29="","",IF(B29="Deposit",J29,IF(B29="Withdrawal",-J29,IF(B29="Buy",-(I29+H29),IF(B29="Sell",I29-H29,IF(B29="Dividend",J29,IF(B29="Fee",-J29,0)))))))</f>
        <v/>
      </c>
      <c r="L29" s="27" t="n"/>
    </row>
    <row r="30">
      <c r="A30" s="43" t="n"/>
      <c r="B30" s="27" t="n"/>
      <c r="C30" s="27" t="n"/>
      <c r="D30" s="44" t="n"/>
      <c r="E30" s="30" t="n"/>
      <c r="F30" s="27" t="n"/>
      <c r="G30" s="31" t="n"/>
      <c r="H30" s="45" t="n"/>
      <c r="I30" s="29">
        <f>IF(OR(B30="Buy",B30="Sell"),D30*E30*IF(EXACT(F30,"GBp"),0.01,1)/IF(G30="",1,G30),"")</f>
        <v/>
      </c>
      <c r="J30" s="45" t="n"/>
      <c r="K30" s="29">
        <f>IF(B30="","",IF(B30="Deposit",J30,IF(B30="Withdrawal",-J30,IF(B30="Buy",-(I30+H30),IF(B30="Sell",I30-H30,IF(B30="Dividend",J30,IF(B30="Fee",-J30,0)))))))</f>
        <v/>
      </c>
      <c r="L30" s="27" t="n"/>
    </row>
    <row r="31">
      <c r="A31" s="43" t="n"/>
      <c r="B31" s="27" t="n"/>
      <c r="C31" s="27" t="n"/>
      <c r="D31" s="44" t="n"/>
      <c r="E31" s="30" t="n"/>
      <c r="F31" s="27" t="n"/>
      <c r="G31" s="31" t="n"/>
      <c r="H31" s="45" t="n"/>
      <c r="I31" s="29">
        <f>IF(OR(B31="Buy",B31="Sell"),D31*E31*IF(EXACT(F31,"GBp"),0.01,1)/IF(G31="",1,G31),"")</f>
        <v/>
      </c>
      <c r="J31" s="45" t="n"/>
      <c r="K31" s="29">
        <f>IF(B31="","",IF(B31="Deposit",J31,IF(B31="Withdrawal",-J31,IF(B31="Buy",-(I31+H31),IF(B31="Sell",I31-H31,IF(B31="Dividend",J31,IF(B31="Fee",-J31,0)))))))</f>
        <v/>
      </c>
      <c r="L31" s="27" t="n"/>
    </row>
    <row r="32">
      <c r="A32" s="43" t="n"/>
      <c r="B32" s="27" t="n"/>
      <c r="C32" s="27" t="n"/>
      <c r="D32" s="44" t="n"/>
      <c r="E32" s="30" t="n"/>
      <c r="F32" s="27" t="n"/>
      <c r="G32" s="31" t="n"/>
      <c r="H32" s="45" t="n"/>
      <c r="I32" s="29">
        <f>IF(OR(B32="Buy",B32="Sell"),D32*E32*IF(EXACT(F32,"GBp"),0.01,1)/IF(G32="",1,G32),"")</f>
        <v/>
      </c>
      <c r="J32" s="45" t="n"/>
      <c r="K32" s="29">
        <f>IF(B32="","",IF(B32="Deposit",J32,IF(B32="Withdrawal",-J32,IF(B32="Buy",-(I32+H32),IF(B32="Sell",I32-H32,IF(B32="Dividend",J32,IF(B32="Fee",-J32,0)))))))</f>
        <v/>
      </c>
      <c r="L32" s="27" t="n"/>
    </row>
    <row r="33">
      <c r="A33" s="43" t="n"/>
      <c r="B33" s="27" t="n"/>
      <c r="C33" s="27" t="n"/>
      <c r="D33" s="44" t="n"/>
      <c r="E33" s="30" t="n"/>
      <c r="F33" s="27" t="n"/>
      <c r="G33" s="31" t="n"/>
      <c r="H33" s="45" t="n"/>
      <c r="I33" s="29">
        <f>IF(OR(B33="Buy",B33="Sell"),D33*E33*IF(EXACT(F33,"GBp"),0.01,1)/IF(G33="",1,G33),"")</f>
        <v/>
      </c>
      <c r="J33" s="45" t="n"/>
      <c r="K33" s="29">
        <f>IF(B33="","",IF(B33="Deposit",J33,IF(B33="Withdrawal",-J33,IF(B33="Buy",-(I33+H33),IF(B33="Sell",I33-H33,IF(B33="Dividend",J33,IF(B33="Fee",-J33,0)))))))</f>
        <v/>
      </c>
      <c r="L33" s="27" t="n"/>
    </row>
    <row r="34">
      <c r="A34" s="43" t="n"/>
      <c r="B34" s="27" t="n"/>
      <c r="C34" s="27" t="n"/>
      <c r="D34" s="44" t="n"/>
      <c r="E34" s="30" t="n"/>
      <c r="F34" s="27" t="n"/>
      <c r="G34" s="31" t="n"/>
      <c r="H34" s="45" t="n"/>
      <c r="I34" s="29">
        <f>IF(OR(B34="Buy",B34="Sell"),D34*E34*IF(EXACT(F34,"GBp"),0.01,1)/IF(G34="",1,G34),"")</f>
        <v/>
      </c>
      <c r="J34" s="45" t="n"/>
      <c r="K34" s="29">
        <f>IF(B34="","",IF(B34="Deposit",J34,IF(B34="Withdrawal",-J34,IF(B34="Buy",-(I34+H34),IF(B34="Sell",I34-H34,IF(B34="Dividend",J34,IF(B34="Fee",-J34,0)))))))</f>
        <v/>
      </c>
      <c r="L34" s="27" t="n"/>
    </row>
    <row r="35">
      <c r="A35" s="43" t="n"/>
      <c r="B35" s="27" t="n"/>
      <c r="C35" s="27" t="n"/>
      <c r="D35" s="44" t="n"/>
      <c r="E35" s="30" t="n"/>
      <c r="F35" s="27" t="n"/>
      <c r="G35" s="31" t="n"/>
      <c r="H35" s="45" t="n"/>
      <c r="I35" s="29">
        <f>IF(OR(B35="Buy",B35="Sell"),D35*E35*IF(EXACT(F35,"GBp"),0.01,1)/IF(G35="",1,G35),"")</f>
        <v/>
      </c>
      <c r="J35" s="45" t="n"/>
      <c r="K35" s="29">
        <f>IF(B35="","",IF(B35="Deposit",J35,IF(B35="Withdrawal",-J35,IF(B35="Buy",-(I35+H35),IF(B35="Sell",I35-H35,IF(B35="Dividend",J35,IF(B35="Fee",-J35,0)))))))</f>
        <v/>
      </c>
      <c r="L35" s="27" t="n"/>
    </row>
    <row r="36">
      <c r="A36" s="43" t="n"/>
      <c r="B36" s="27" t="n"/>
      <c r="C36" s="27" t="n"/>
      <c r="D36" s="44" t="n"/>
      <c r="E36" s="30" t="n"/>
      <c r="F36" s="27" t="n"/>
      <c r="G36" s="31" t="n"/>
      <c r="H36" s="45" t="n"/>
      <c r="I36" s="29">
        <f>IF(OR(B36="Buy",B36="Sell"),D36*E36*IF(EXACT(F36,"GBp"),0.01,1)/IF(G36="",1,G36),"")</f>
        <v/>
      </c>
      <c r="J36" s="45" t="n"/>
      <c r="K36" s="29">
        <f>IF(B36="","",IF(B36="Deposit",J36,IF(B36="Withdrawal",-J36,IF(B36="Buy",-(I36+H36),IF(B36="Sell",I36-H36,IF(B36="Dividend",J36,IF(B36="Fee",-J36,0)))))))</f>
        <v/>
      </c>
      <c r="L36" s="27" t="n"/>
    </row>
    <row r="37">
      <c r="A37" s="43" t="n"/>
      <c r="B37" s="27" t="n"/>
      <c r="C37" s="27" t="n"/>
      <c r="D37" s="44" t="n"/>
      <c r="E37" s="30" t="n"/>
      <c r="F37" s="27" t="n"/>
      <c r="G37" s="31" t="n"/>
      <c r="H37" s="45" t="n"/>
      <c r="I37" s="29">
        <f>IF(OR(B37="Buy",B37="Sell"),D37*E37*IF(EXACT(F37,"GBp"),0.01,1)/IF(G37="",1,G37),"")</f>
        <v/>
      </c>
      <c r="J37" s="45" t="n"/>
      <c r="K37" s="29">
        <f>IF(B37="","",IF(B37="Deposit",J37,IF(B37="Withdrawal",-J37,IF(B37="Buy",-(I37+H37),IF(B37="Sell",I37-H37,IF(B37="Dividend",J37,IF(B37="Fee",-J37,0)))))))</f>
        <v/>
      </c>
      <c r="L37" s="27" t="n"/>
    </row>
    <row r="38">
      <c r="A38" s="43" t="n"/>
      <c r="B38" s="27" t="n"/>
      <c r="C38" s="27" t="n"/>
      <c r="D38" s="44" t="n"/>
      <c r="E38" s="30" t="n"/>
      <c r="F38" s="27" t="n"/>
      <c r="G38" s="31" t="n"/>
      <c r="H38" s="45" t="n"/>
      <c r="I38" s="29">
        <f>IF(OR(B38="Buy",B38="Sell"),D38*E38*IF(EXACT(F38,"GBp"),0.01,1)/IF(G38="",1,G38),"")</f>
        <v/>
      </c>
      <c r="J38" s="45" t="n"/>
      <c r="K38" s="29">
        <f>IF(B38="","",IF(B38="Deposit",J38,IF(B38="Withdrawal",-J38,IF(B38="Buy",-(I38+H38),IF(B38="Sell",I38-H38,IF(B38="Dividend",J38,IF(B38="Fee",-J38,0)))))))</f>
        <v/>
      </c>
      <c r="L38" s="27" t="n"/>
    </row>
    <row r="39">
      <c r="A39" s="43" t="n"/>
      <c r="B39" s="27" t="n"/>
      <c r="C39" s="27" t="n"/>
      <c r="D39" s="44" t="n"/>
      <c r="E39" s="30" t="n"/>
      <c r="F39" s="27" t="n"/>
      <c r="G39" s="31" t="n"/>
      <c r="H39" s="45" t="n"/>
      <c r="I39" s="29">
        <f>IF(OR(B39="Buy",B39="Sell"),D39*E39*IF(EXACT(F39,"GBp"),0.01,1)/IF(G39="",1,G39),"")</f>
        <v/>
      </c>
      <c r="J39" s="45" t="n"/>
      <c r="K39" s="29">
        <f>IF(B39="","",IF(B39="Deposit",J39,IF(B39="Withdrawal",-J39,IF(B39="Buy",-(I39+H39),IF(B39="Sell",I39-H39,IF(B39="Dividend",J39,IF(B39="Fee",-J39,0)))))))</f>
        <v/>
      </c>
      <c r="L39" s="27" t="n"/>
    </row>
    <row r="40">
      <c r="A40" s="43" t="n"/>
      <c r="B40" s="27" t="n"/>
      <c r="C40" s="27" t="n"/>
      <c r="D40" s="44" t="n"/>
      <c r="E40" s="30" t="n"/>
      <c r="F40" s="27" t="n"/>
      <c r="G40" s="31" t="n"/>
      <c r="H40" s="45" t="n"/>
      <c r="I40" s="29">
        <f>IF(OR(B40="Buy",B40="Sell"),D40*E40*IF(EXACT(F40,"GBp"),0.01,1)/IF(G40="",1,G40),"")</f>
        <v/>
      </c>
      <c r="J40" s="45" t="n"/>
      <c r="K40" s="29">
        <f>IF(B40="","",IF(B40="Deposit",J40,IF(B40="Withdrawal",-J40,IF(B40="Buy",-(I40+H40),IF(B40="Sell",I40-H40,IF(B40="Dividend",J40,IF(B40="Fee",-J40,0)))))))</f>
        <v/>
      </c>
      <c r="L40" s="27" t="n"/>
    </row>
    <row r="41">
      <c r="A41" s="43" t="n"/>
      <c r="B41" s="27" t="n"/>
      <c r="C41" s="27" t="n"/>
      <c r="D41" s="44" t="n"/>
      <c r="E41" s="30" t="n"/>
      <c r="F41" s="27" t="n"/>
      <c r="G41" s="31" t="n"/>
      <c r="H41" s="45" t="n"/>
      <c r="I41" s="29">
        <f>IF(OR(B41="Buy",B41="Sell"),D41*E41*IF(EXACT(F41,"GBp"),0.01,1)/IF(G41="",1,G41),"")</f>
        <v/>
      </c>
      <c r="J41" s="45" t="n"/>
      <c r="K41" s="29">
        <f>IF(B41="","",IF(B41="Deposit",J41,IF(B41="Withdrawal",-J41,IF(B41="Buy",-(I41+H41),IF(B41="Sell",I41-H41,IF(B41="Dividend",J41,IF(B41="Fee",-J41,0)))))))</f>
        <v/>
      </c>
      <c r="L41" s="27" t="n"/>
    </row>
    <row r="42">
      <c r="A42" s="43" t="n"/>
      <c r="B42" s="27" t="n"/>
      <c r="C42" s="27" t="n"/>
      <c r="D42" s="44" t="n"/>
      <c r="E42" s="30" t="n"/>
      <c r="F42" s="27" t="n"/>
      <c r="G42" s="31" t="n"/>
      <c r="H42" s="45" t="n"/>
      <c r="I42" s="29">
        <f>IF(OR(B42="Buy",B42="Sell"),D42*E42*IF(EXACT(F42,"GBp"),0.01,1)/IF(G42="",1,G42),"")</f>
        <v/>
      </c>
      <c r="J42" s="45" t="n"/>
      <c r="K42" s="29">
        <f>IF(B42="","",IF(B42="Deposit",J42,IF(B42="Withdrawal",-J42,IF(B42="Buy",-(I42+H42),IF(B42="Sell",I42-H42,IF(B42="Dividend",J42,IF(B42="Fee",-J42,0)))))))</f>
        <v/>
      </c>
      <c r="L42" s="27" t="n"/>
    </row>
    <row r="43">
      <c r="A43" s="43" t="n"/>
      <c r="B43" s="27" t="n"/>
      <c r="C43" s="27" t="n"/>
      <c r="D43" s="44" t="n"/>
      <c r="E43" s="30" t="n"/>
      <c r="F43" s="27" t="n"/>
      <c r="G43" s="31" t="n"/>
      <c r="H43" s="45" t="n"/>
      <c r="I43" s="29">
        <f>IF(OR(B43="Buy",B43="Sell"),D43*E43*IF(EXACT(F43,"GBp"),0.01,1)/IF(G43="",1,G43),"")</f>
        <v/>
      </c>
      <c r="J43" s="45" t="n"/>
      <c r="K43" s="29">
        <f>IF(B43="","",IF(B43="Deposit",J43,IF(B43="Withdrawal",-J43,IF(B43="Buy",-(I43+H43),IF(B43="Sell",I43-H43,IF(B43="Dividend",J43,IF(B43="Fee",-J43,0)))))))</f>
        <v/>
      </c>
      <c r="L43" s="27" t="n"/>
    </row>
    <row r="44">
      <c r="A44" s="43" t="n"/>
      <c r="B44" s="27" t="n"/>
      <c r="C44" s="27" t="n"/>
      <c r="D44" s="44" t="n"/>
      <c r="E44" s="30" t="n"/>
      <c r="F44" s="27" t="n"/>
      <c r="G44" s="31" t="n"/>
      <c r="H44" s="45" t="n"/>
      <c r="I44" s="29">
        <f>IF(OR(B44="Buy",B44="Sell"),D44*E44*IF(EXACT(F44,"GBp"),0.01,1)/IF(G44="",1,G44),"")</f>
        <v/>
      </c>
      <c r="J44" s="45" t="n"/>
      <c r="K44" s="29">
        <f>IF(B44="","",IF(B44="Deposit",J44,IF(B44="Withdrawal",-J44,IF(B44="Buy",-(I44+H44),IF(B44="Sell",I44-H44,IF(B44="Dividend",J44,IF(B44="Fee",-J44,0)))))))</f>
        <v/>
      </c>
      <c r="L44" s="27" t="n"/>
    </row>
    <row r="45">
      <c r="A45" s="43" t="n"/>
      <c r="B45" s="27" t="n"/>
      <c r="C45" s="27" t="n"/>
      <c r="D45" s="44" t="n"/>
      <c r="E45" s="30" t="n"/>
      <c r="F45" s="27" t="n"/>
      <c r="G45" s="31" t="n"/>
      <c r="H45" s="45" t="n"/>
      <c r="I45" s="29">
        <f>IF(OR(B45="Buy",B45="Sell"),D45*E45*IF(EXACT(F45,"GBp"),0.01,1)/IF(G45="",1,G45),"")</f>
        <v/>
      </c>
      <c r="J45" s="45" t="n"/>
      <c r="K45" s="29">
        <f>IF(B45="","",IF(B45="Deposit",J45,IF(B45="Withdrawal",-J45,IF(B45="Buy",-(I45+H45),IF(B45="Sell",I45-H45,IF(B45="Dividend",J45,IF(B45="Fee",-J45,0)))))))</f>
        <v/>
      </c>
      <c r="L45" s="27" t="n"/>
    </row>
    <row r="46">
      <c r="A46" s="43" t="n"/>
      <c r="B46" s="27" t="n"/>
      <c r="C46" s="27" t="n"/>
      <c r="D46" s="44" t="n"/>
      <c r="E46" s="30" t="n"/>
      <c r="F46" s="27" t="n"/>
      <c r="G46" s="31" t="n"/>
      <c r="H46" s="45" t="n"/>
      <c r="I46" s="29">
        <f>IF(OR(B46="Buy",B46="Sell"),D46*E46*IF(EXACT(F46,"GBp"),0.01,1)/IF(G46="",1,G46),"")</f>
        <v/>
      </c>
      <c r="J46" s="45" t="n"/>
      <c r="K46" s="29">
        <f>IF(B46="","",IF(B46="Deposit",J46,IF(B46="Withdrawal",-J46,IF(B46="Buy",-(I46+H46),IF(B46="Sell",I46-H46,IF(B46="Dividend",J46,IF(B46="Fee",-J46,0)))))))</f>
        <v/>
      </c>
      <c r="L46" s="27" t="n"/>
    </row>
    <row r="47">
      <c r="A47" s="43" t="n"/>
      <c r="B47" s="27" t="n"/>
      <c r="C47" s="27" t="n"/>
      <c r="D47" s="44" t="n"/>
      <c r="E47" s="30" t="n"/>
      <c r="F47" s="27" t="n"/>
      <c r="G47" s="31" t="n"/>
      <c r="H47" s="45" t="n"/>
      <c r="I47" s="29">
        <f>IF(OR(B47="Buy",B47="Sell"),D47*E47*IF(EXACT(F47,"GBp"),0.01,1)/IF(G47="",1,G47),"")</f>
        <v/>
      </c>
      <c r="J47" s="45" t="n"/>
      <c r="K47" s="29">
        <f>IF(B47="","",IF(B47="Deposit",J47,IF(B47="Withdrawal",-J47,IF(B47="Buy",-(I47+H47),IF(B47="Sell",I47-H47,IF(B47="Dividend",J47,IF(B47="Fee",-J47,0)))))))</f>
        <v/>
      </c>
      <c r="L47" s="27" t="n"/>
    </row>
    <row r="48">
      <c r="A48" s="43" t="n"/>
      <c r="B48" s="27" t="n"/>
      <c r="C48" s="27" t="n"/>
      <c r="D48" s="44" t="n"/>
      <c r="E48" s="30" t="n"/>
      <c r="F48" s="27" t="n"/>
      <c r="G48" s="31" t="n"/>
      <c r="H48" s="45" t="n"/>
      <c r="I48" s="29">
        <f>IF(OR(B48="Buy",B48="Sell"),D48*E48*IF(EXACT(F48,"GBp"),0.01,1)/IF(G48="",1,G48),"")</f>
        <v/>
      </c>
      <c r="J48" s="45" t="n"/>
      <c r="K48" s="29">
        <f>IF(B48="","",IF(B48="Deposit",J48,IF(B48="Withdrawal",-J48,IF(B48="Buy",-(I48+H48),IF(B48="Sell",I48-H48,IF(B48="Dividend",J48,IF(B48="Fee",-J48,0)))))))</f>
        <v/>
      </c>
      <c r="L48" s="27" t="n"/>
    </row>
    <row r="49">
      <c r="A49" s="43" t="n"/>
      <c r="B49" s="27" t="n"/>
      <c r="C49" s="27" t="n"/>
      <c r="D49" s="44" t="n"/>
      <c r="E49" s="30" t="n"/>
      <c r="F49" s="27" t="n"/>
      <c r="G49" s="31" t="n"/>
      <c r="H49" s="45" t="n"/>
      <c r="I49" s="29">
        <f>IF(OR(B49="Buy",B49="Sell"),D49*E49*IF(EXACT(F49,"GBp"),0.01,1)/IF(G49="",1,G49),"")</f>
        <v/>
      </c>
      <c r="J49" s="45" t="n"/>
      <c r="K49" s="29">
        <f>IF(B49="","",IF(B49="Deposit",J49,IF(B49="Withdrawal",-J49,IF(B49="Buy",-(I49+H49),IF(B49="Sell",I49-H49,IF(B49="Dividend",J49,IF(B49="Fee",-J49,0)))))))</f>
        <v/>
      </c>
      <c r="L49" s="27" t="n"/>
    </row>
    <row r="50">
      <c r="A50" s="43" t="n"/>
      <c r="B50" s="27" t="n"/>
      <c r="C50" s="27" t="n"/>
      <c r="D50" s="44" t="n"/>
      <c r="E50" s="30" t="n"/>
      <c r="F50" s="27" t="n"/>
      <c r="G50" s="31" t="n"/>
      <c r="H50" s="45" t="n"/>
      <c r="I50" s="29">
        <f>IF(OR(B50="Buy",B50="Sell"),D50*E50*IF(EXACT(F50,"GBp"),0.01,1)/IF(G50="",1,G50),"")</f>
        <v/>
      </c>
      <c r="J50" s="45" t="n"/>
      <c r="K50" s="29">
        <f>IF(B50="","",IF(B50="Deposit",J50,IF(B50="Withdrawal",-J50,IF(B50="Buy",-(I50+H50),IF(B50="Sell",I50-H50,IF(B50="Dividend",J50,IF(B50="Fee",-J50,0)))))))</f>
        <v/>
      </c>
      <c r="L50" s="27" t="n"/>
    </row>
    <row r="51">
      <c r="A51" s="43" t="n"/>
      <c r="B51" s="27" t="n"/>
      <c r="C51" s="27" t="n"/>
      <c r="D51" s="44" t="n"/>
      <c r="E51" s="30" t="n"/>
      <c r="F51" s="27" t="n"/>
      <c r="G51" s="31" t="n"/>
      <c r="H51" s="45" t="n"/>
      <c r="I51" s="29">
        <f>IF(OR(B51="Buy",B51="Sell"),D51*E51*IF(EXACT(F51,"GBp"),0.01,1)/IF(G51="",1,G51),"")</f>
        <v/>
      </c>
      <c r="J51" s="45" t="n"/>
      <c r="K51" s="29">
        <f>IF(B51="","",IF(B51="Deposit",J51,IF(B51="Withdrawal",-J51,IF(B51="Buy",-(I51+H51),IF(B51="Sell",I51-H51,IF(B51="Dividend",J51,IF(B51="Fee",-J51,0)))))))</f>
        <v/>
      </c>
      <c r="L51" s="27" t="n"/>
    </row>
    <row r="52">
      <c r="A52" s="43" t="n"/>
      <c r="B52" s="27" t="n"/>
      <c r="C52" s="27" t="n"/>
      <c r="D52" s="44" t="n"/>
      <c r="E52" s="30" t="n"/>
      <c r="F52" s="27" t="n"/>
      <c r="G52" s="31" t="n"/>
      <c r="H52" s="45" t="n"/>
      <c r="I52" s="29">
        <f>IF(OR(B52="Buy",B52="Sell"),D52*E52*IF(EXACT(F52,"GBp"),0.01,1)/IF(G52="",1,G52),"")</f>
        <v/>
      </c>
      <c r="J52" s="45" t="n"/>
      <c r="K52" s="29">
        <f>IF(B52="","",IF(B52="Deposit",J52,IF(B52="Withdrawal",-J52,IF(B52="Buy",-(I52+H52),IF(B52="Sell",I52-H52,IF(B52="Dividend",J52,IF(B52="Fee",-J52,0)))))))</f>
        <v/>
      </c>
      <c r="L52" s="27" t="n"/>
    </row>
    <row r="53">
      <c r="A53" s="43" t="n"/>
      <c r="B53" s="27" t="n"/>
      <c r="C53" s="27" t="n"/>
      <c r="D53" s="44" t="n"/>
      <c r="E53" s="30" t="n"/>
      <c r="F53" s="27" t="n"/>
      <c r="G53" s="31" t="n"/>
      <c r="H53" s="45" t="n"/>
      <c r="I53" s="29">
        <f>IF(OR(B53="Buy",B53="Sell"),D53*E53*IF(EXACT(F53,"GBp"),0.01,1)/IF(G53="",1,G53),"")</f>
        <v/>
      </c>
      <c r="J53" s="45" t="n"/>
      <c r="K53" s="29">
        <f>IF(B53="","",IF(B53="Deposit",J53,IF(B53="Withdrawal",-J53,IF(B53="Buy",-(I53+H53),IF(B53="Sell",I53-H53,IF(B53="Dividend",J53,IF(B53="Fee",-J53,0)))))))</f>
        <v/>
      </c>
      <c r="L53" s="27" t="n"/>
    </row>
    <row r="54">
      <c r="A54" s="43" t="n"/>
      <c r="B54" s="27" t="n"/>
      <c r="C54" s="27" t="n"/>
      <c r="D54" s="44" t="n"/>
      <c r="E54" s="30" t="n"/>
      <c r="F54" s="27" t="n"/>
      <c r="G54" s="31" t="n"/>
      <c r="H54" s="45" t="n"/>
      <c r="I54" s="29">
        <f>IF(OR(B54="Buy",B54="Sell"),D54*E54*IF(EXACT(F54,"GBp"),0.01,1)/IF(G54="",1,G54),"")</f>
        <v/>
      </c>
      <c r="J54" s="45" t="n"/>
      <c r="K54" s="29">
        <f>IF(B54="","",IF(B54="Deposit",J54,IF(B54="Withdrawal",-J54,IF(B54="Buy",-(I54+H54),IF(B54="Sell",I54-H54,IF(B54="Dividend",J54,IF(B54="Fee",-J54,0)))))))</f>
        <v/>
      </c>
      <c r="L54" s="27" t="n"/>
    </row>
    <row r="55">
      <c r="A55" s="43" t="n"/>
      <c r="B55" s="27" t="n"/>
      <c r="C55" s="27" t="n"/>
      <c r="D55" s="44" t="n"/>
      <c r="E55" s="30" t="n"/>
      <c r="F55" s="27" t="n"/>
      <c r="G55" s="31" t="n"/>
      <c r="H55" s="45" t="n"/>
      <c r="I55" s="29">
        <f>IF(OR(B55="Buy",B55="Sell"),D55*E55*IF(EXACT(F55,"GBp"),0.01,1)/IF(G55="",1,G55),"")</f>
        <v/>
      </c>
      <c r="J55" s="45" t="n"/>
      <c r="K55" s="29">
        <f>IF(B55="","",IF(B55="Deposit",J55,IF(B55="Withdrawal",-J55,IF(B55="Buy",-(I55+H55),IF(B55="Sell",I55-H55,IF(B55="Dividend",J55,IF(B55="Fee",-J55,0)))))))</f>
        <v/>
      </c>
      <c r="L55" s="27" t="n"/>
    </row>
    <row r="56">
      <c r="A56" s="43" t="n"/>
      <c r="B56" s="27" t="n"/>
      <c r="C56" s="27" t="n"/>
      <c r="D56" s="44" t="n"/>
      <c r="E56" s="30" t="n"/>
      <c r="F56" s="27" t="n"/>
      <c r="G56" s="31" t="n"/>
      <c r="H56" s="45" t="n"/>
      <c r="I56" s="29">
        <f>IF(OR(B56="Buy",B56="Sell"),D56*E56*IF(EXACT(F56,"GBp"),0.01,1)/IF(G56="",1,G56),"")</f>
        <v/>
      </c>
      <c r="J56" s="45" t="n"/>
      <c r="K56" s="29">
        <f>IF(B56="","",IF(B56="Deposit",J56,IF(B56="Withdrawal",-J56,IF(B56="Buy",-(I56+H56),IF(B56="Sell",I56-H56,IF(B56="Dividend",J56,IF(B56="Fee",-J56,0)))))))</f>
        <v/>
      </c>
      <c r="L56" s="27" t="n"/>
    </row>
    <row r="57">
      <c r="A57" s="43" t="n"/>
      <c r="B57" s="27" t="n"/>
      <c r="C57" s="27" t="n"/>
      <c r="D57" s="44" t="n"/>
      <c r="E57" s="30" t="n"/>
      <c r="F57" s="27" t="n"/>
      <c r="G57" s="31" t="n"/>
      <c r="H57" s="45" t="n"/>
      <c r="I57" s="29">
        <f>IF(OR(B57="Buy",B57="Sell"),D57*E57*IF(EXACT(F57,"GBp"),0.01,1)/IF(G57="",1,G57),"")</f>
        <v/>
      </c>
      <c r="J57" s="45" t="n"/>
      <c r="K57" s="29">
        <f>IF(B57="","",IF(B57="Deposit",J57,IF(B57="Withdrawal",-J57,IF(B57="Buy",-(I57+H57),IF(B57="Sell",I57-H57,IF(B57="Dividend",J57,IF(B57="Fee",-J57,0)))))))</f>
        <v/>
      </c>
      <c r="L57" s="27" t="n"/>
    </row>
    <row r="58">
      <c r="A58" s="43" t="n"/>
      <c r="B58" s="27" t="n"/>
      <c r="C58" s="27" t="n"/>
      <c r="D58" s="44" t="n"/>
      <c r="E58" s="30" t="n"/>
      <c r="F58" s="27" t="n"/>
      <c r="G58" s="31" t="n"/>
      <c r="H58" s="45" t="n"/>
      <c r="I58" s="29">
        <f>IF(OR(B58="Buy",B58="Sell"),D58*E58*IF(EXACT(F58,"GBp"),0.01,1)/IF(G58="",1,G58),"")</f>
        <v/>
      </c>
      <c r="J58" s="45" t="n"/>
      <c r="K58" s="29">
        <f>IF(B58="","",IF(B58="Deposit",J58,IF(B58="Withdrawal",-J58,IF(B58="Buy",-(I58+H58),IF(B58="Sell",I58-H58,IF(B58="Dividend",J58,IF(B58="Fee",-J58,0)))))))</f>
        <v/>
      </c>
      <c r="L58" s="27" t="n"/>
    </row>
    <row r="59">
      <c r="A59" s="43" t="n"/>
      <c r="B59" s="27" t="n"/>
      <c r="C59" s="27" t="n"/>
      <c r="D59" s="44" t="n"/>
      <c r="E59" s="30" t="n"/>
      <c r="F59" s="27" t="n"/>
      <c r="G59" s="31" t="n"/>
      <c r="H59" s="45" t="n"/>
      <c r="I59" s="29">
        <f>IF(OR(B59="Buy",B59="Sell"),D59*E59*IF(EXACT(F59,"GBp"),0.01,1)/IF(G59="",1,G59),"")</f>
        <v/>
      </c>
      <c r="J59" s="45" t="n"/>
      <c r="K59" s="29">
        <f>IF(B59="","",IF(B59="Deposit",J59,IF(B59="Withdrawal",-J59,IF(B59="Buy",-(I59+H59),IF(B59="Sell",I59-H59,IF(B59="Dividend",J59,IF(B59="Fee",-J59,0)))))))</f>
        <v/>
      </c>
      <c r="L59" s="27" t="n"/>
    </row>
    <row r="60">
      <c r="A60" s="43" t="n"/>
      <c r="B60" s="27" t="n"/>
      <c r="C60" s="27" t="n"/>
      <c r="D60" s="44" t="n"/>
      <c r="E60" s="30" t="n"/>
      <c r="F60" s="27" t="n"/>
      <c r="G60" s="31" t="n"/>
      <c r="H60" s="45" t="n"/>
      <c r="I60" s="29">
        <f>IF(OR(B60="Buy",B60="Sell"),D60*E60*IF(EXACT(F60,"GBp"),0.01,1)/IF(G60="",1,G60),"")</f>
        <v/>
      </c>
      <c r="J60" s="45" t="n"/>
      <c r="K60" s="29">
        <f>IF(B60="","",IF(B60="Deposit",J60,IF(B60="Withdrawal",-J60,IF(B60="Buy",-(I60+H60),IF(B60="Sell",I60-H60,IF(B60="Dividend",J60,IF(B60="Fee",-J60,0)))))))</f>
        <v/>
      </c>
      <c r="L60" s="27" t="n"/>
    </row>
    <row r="61">
      <c r="A61" s="43" t="n"/>
      <c r="B61" s="27" t="n"/>
      <c r="C61" s="27" t="n"/>
      <c r="D61" s="44" t="n"/>
      <c r="E61" s="30" t="n"/>
      <c r="F61" s="27" t="n"/>
      <c r="G61" s="31" t="n"/>
      <c r="H61" s="45" t="n"/>
      <c r="I61" s="29">
        <f>IF(OR(B61="Buy",B61="Sell"),D61*E61*IF(EXACT(F61,"GBp"),0.01,1)/IF(G61="",1,G61),"")</f>
        <v/>
      </c>
      <c r="J61" s="45" t="n"/>
      <c r="K61" s="29">
        <f>IF(B61="","",IF(B61="Deposit",J61,IF(B61="Withdrawal",-J61,IF(B61="Buy",-(I61+H61),IF(B61="Sell",I61-H61,IF(B61="Dividend",J61,IF(B61="Fee",-J61,0)))))))</f>
        <v/>
      </c>
      <c r="L61" s="27" t="n"/>
    </row>
    <row r="62">
      <c r="A62" s="43" t="n"/>
      <c r="B62" s="27" t="n"/>
      <c r="C62" s="27" t="n"/>
      <c r="D62" s="44" t="n"/>
      <c r="E62" s="30" t="n"/>
      <c r="F62" s="27" t="n"/>
      <c r="G62" s="31" t="n"/>
      <c r="H62" s="45" t="n"/>
      <c r="I62" s="29">
        <f>IF(OR(B62="Buy",B62="Sell"),D62*E62*IF(EXACT(F62,"GBp"),0.01,1)/IF(G62="",1,G62),"")</f>
        <v/>
      </c>
      <c r="J62" s="45" t="n"/>
      <c r="K62" s="29">
        <f>IF(B62="","",IF(B62="Deposit",J62,IF(B62="Withdrawal",-J62,IF(B62="Buy",-(I62+H62),IF(B62="Sell",I62-H62,IF(B62="Dividend",J62,IF(B62="Fee",-J62,0)))))))</f>
        <v/>
      </c>
      <c r="L62" s="27" t="n"/>
    </row>
    <row r="63">
      <c r="A63" s="43" t="n"/>
      <c r="B63" s="27" t="n"/>
      <c r="C63" s="27" t="n"/>
      <c r="D63" s="44" t="n"/>
      <c r="E63" s="30" t="n"/>
      <c r="F63" s="27" t="n"/>
      <c r="G63" s="31" t="n"/>
      <c r="H63" s="45" t="n"/>
      <c r="I63" s="29">
        <f>IF(OR(B63="Buy",B63="Sell"),D63*E63*IF(EXACT(F63,"GBp"),0.01,1)/IF(G63="",1,G63),"")</f>
        <v/>
      </c>
      <c r="J63" s="45" t="n"/>
      <c r="K63" s="29">
        <f>IF(B63="","",IF(B63="Deposit",J63,IF(B63="Withdrawal",-J63,IF(B63="Buy",-(I63+H63),IF(B63="Sell",I63-H63,IF(B63="Dividend",J63,IF(B63="Fee",-J63,0)))))))</f>
        <v/>
      </c>
      <c r="L63" s="27" t="n"/>
    </row>
    <row r="64">
      <c r="A64" s="43" t="n"/>
      <c r="B64" s="27" t="n"/>
      <c r="C64" s="27" t="n"/>
      <c r="D64" s="44" t="n"/>
      <c r="E64" s="30" t="n"/>
      <c r="F64" s="27" t="n"/>
      <c r="G64" s="31" t="n"/>
      <c r="H64" s="45" t="n"/>
      <c r="I64" s="29">
        <f>IF(OR(B64="Buy",B64="Sell"),D64*E64*IF(EXACT(F64,"GBp"),0.01,1)/IF(G64="",1,G64),"")</f>
        <v/>
      </c>
      <c r="J64" s="45" t="n"/>
      <c r="K64" s="29">
        <f>IF(B64="","",IF(B64="Deposit",J64,IF(B64="Withdrawal",-J64,IF(B64="Buy",-(I64+H64),IF(B64="Sell",I64-H64,IF(B64="Dividend",J64,IF(B64="Fee",-J64,0)))))))</f>
        <v/>
      </c>
      <c r="L64" s="27" t="n"/>
    </row>
    <row r="65">
      <c r="A65" s="43" t="n"/>
      <c r="B65" s="27" t="n"/>
      <c r="C65" s="27" t="n"/>
      <c r="D65" s="44" t="n"/>
      <c r="E65" s="30" t="n"/>
      <c r="F65" s="27" t="n"/>
      <c r="G65" s="31" t="n"/>
      <c r="H65" s="45" t="n"/>
      <c r="I65" s="29">
        <f>IF(OR(B65="Buy",B65="Sell"),D65*E65*IF(EXACT(F65,"GBp"),0.01,1)/IF(G65="",1,G65),"")</f>
        <v/>
      </c>
      <c r="J65" s="45" t="n"/>
      <c r="K65" s="29">
        <f>IF(B65="","",IF(B65="Deposit",J65,IF(B65="Withdrawal",-J65,IF(B65="Buy",-(I65+H65),IF(B65="Sell",I65-H65,IF(B65="Dividend",J65,IF(B65="Fee",-J65,0)))))))</f>
        <v/>
      </c>
      <c r="L65" s="27" t="n"/>
    </row>
    <row r="66">
      <c r="A66" s="43" t="n"/>
      <c r="B66" s="27" t="n"/>
      <c r="C66" s="27" t="n"/>
      <c r="D66" s="44" t="n"/>
      <c r="E66" s="30" t="n"/>
      <c r="F66" s="27" t="n"/>
      <c r="G66" s="31" t="n"/>
      <c r="H66" s="45" t="n"/>
      <c r="I66" s="29">
        <f>IF(OR(B66="Buy",B66="Sell"),D66*E66*IF(EXACT(F66,"GBp"),0.01,1)/IF(G66="",1,G66),"")</f>
        <v/>
      </c>
      <c r="J66" s="45" t="n"/>
      <c r="K66" s="29">
        <f>IF(B66="","",IF(B66="Deposit",J66,IF(B66="Withdrawal",-J66,IF(B66="Buy",-(I66+H66),IF(B66="Sell",I66-H66,IF(B66="Dividend",J66,IF(B66="Fee",-J66,0)))))))</f>
        <v/>
      </c>
      <c r="L66" s="27" t="n"/>
    </row>
    <row r="67">
      <c r="A67" s="43" t="n"/>
      <c r="B67" s="27" t="n"/>
      <c r="C67" s="27" t="n"/>
      <c r="D67" s="44" t="n"/>
      <c r="E67" s="30" t="n"/>
      <c r="F67" s="27" t="n"/>
      <c r="G67" s="31" t="n"/>
      <c r="H67" s="45" t="n"/>
      <c r="I67" s="29">
        <f>IF(OR(B67="Buy",B67="Sell"),D67*E67*IF(EXACT(F67,"GBp"),0.01,1)/IF(G67="",1,G67),"")</f>
        <v/>
      </c>
      <c r="J67" s="45" t="n"/>
      <c r="K67" s="29">
        <f>IF(B67="","",IF(B67="Deposit",J67,IF(B67="Withdrawal",-J67,IF(B67="Buy",-(I67+H67),IF(B67="Sell",I67-H67,IF(B67="Dividend",J67,IF(B67="Fee",-J67,0)))))))</f>
        <v/>
      </c>
      <c r="L67" s="27" t="n"/>
    </row>
    <row r="68">
      <c r="A68" s="43" t="n"/>
      <c r="B68" s="27" t="n"/>
      <c r="C68" s="27" t="n"/>
      <c r="D68" s="44" t="n"/>
      <c r="E68" s="30" t="n"/>
      <c r="F68" s="27" t="n"/>
      <c r="G68" s="31" t="n"/>
      <c r="H68" s="45" t="n"/>
      <c r="I68" s="29">
        <f>IF(OR(B68="Buy",B68="Sell"),D68*E68*IF(EXACT(F68,"GBp"),0.01,1)/IF(G68="",1,G68),"")</f>
        <v/>
      </c>
      <c r="J68" s="45" t="n"/>
      <c r="K68" s="29">
        <f>IF(B68="","",IF(B68="Deposit",J68,IF(B68="Withdrawal",-J68,IF(B68="Buy",-(I68+H68),IF(B68="Sell",I68-H68,IF(B68="Dividend",J68,IF(B68="Fee",-J68,0)))))))</f>
        <v/>
      </c>
      <c r="L68" s="27" t="n"/>
    </row>
    <row r="69">
      <c r="A69" s="43" t="n"/>
      <c r="B69" s="27" t="n"/>
      <c r="C69" s="27" t="n"/>
      <c r="D69" s="44" t="n"/>
      <c r="E69" s="30" t="n"/>
      <c r="F69" s="27" t="n"/>
      <c r="G69" s="31" t="n"/>
      <c r="H69" s="45" t="n"/>
      <c r="I69" s="29">
        <f>IF(OR(B69="Buy",B69="Sell"),D69*E69*IF(EXACT(F69,"GBp"),0.01,1)/IF(G69="",1,G69),"")</f>
        <v/>
      </c>
      <c r="J69" s="45" t="n"/>
      <c r="K69" s="29">
        <f>IF(B69="","",IF(B69="Deposit",J69,IF(B69="Withdrawal",-J69,IF(B69="Buy",-(I69+H69),IF(B69="Sell",I69-H69,IF(B69="Dividend",J69,IF(B69="Fee",-J69,0)))))))</f>
        <v/>
      </c>
      <c r="L69" s="27" t="n"/>
    </row>
    <row r="70">
      <c r="A70" s="43" t="n"/>
      <c r="B70" s="27" t="n"/>
      <c r="C70" s="27" t="n"/>
      <c r="D70" s="44" t="n"/>
      <c r="E70" s="30" t="n"/>
      <c r="F70" s="27" t="n"/>
      <c r="G70" s="31" t="n"/>
      <c r="H70" s="45" t="n"/>
      <c r="I70" s="29">
        <f>IF(OR(B70="Buy",B70="Sell"),D70*E70*IF(EXACT(F70,"GBp"),0.01,1)/IF(G70="",1,G70),"")</f>
        <v/>
      </c>
      <c r="J70" s="45" t="n"/>
      <c r="K70" s="29">
        <f>IF(B70="","",IF(B70="Deposit",J70,IF(B70="Withdrawal",-J70,IF(B70="Buy",-(I70+H70),IF(B70="Sell",I70-H70,IF(B70="Dividend",J70,IF(B70="Fee",-J70,0)))))))</f>
        <v/>
      </c>
      <c r="L70" s="27" t="n"/>
    </row>
    <row r="71">
      <c r="A71" s="43" t="n"/>
      <c r="B71" s="27" t="n"/>
      <c r="C71" s="27" t="n"/>
      <c r="D71" s="44" t="n"/>
      <c r="E71" s="30" t="n"/>
      <c r="F71" s="27" t="n"/>
      <c r="G71" s="31" t="n"/>
      <c r="H71" s="45" t="n"/>
      <c r="I71" s="29">
        <f>IF(OR(B71="Buy",B71="Sell"),D71*E71*IF(EXACT(F71,"GBp"),0.01,1)/IF(G71="",1,G71),"")</f>
        <v/>
      </c>
      <c r="J71" s="45" t="n"/>
      <c r="K71" s="29">
        <f>IF(B71="","",IF(B71="Deposit",J71,IF(B71="Withdrawal",-J71,IF(B71="Buy",-(I71+H71),IF(B71="Sell",I71-H71,IF(B71="Dividend",J71,IF(B71="Fee",-J71,0)))))))</f>
        <v/>
      </c>
      <c r="L71" s="27" t="n"/>
    </row>
    <row r="72">
      <c r="A72" s="43" t="n"/>
      <c r="B72" s="27" t="n"/>
      <c r="C72" s="27" t="n"/>
      <c r="D72" s="44" t="n"/>
      <c r="E72" s="30" t="n"/>
      <c r="F72" s="27" t="n"/>
      <c r="G72" s="31" t="n"/>
      <c r="H72" s="45" t="n"/>
      <c r="I72" s="29">
        <f>IF(OR(B72="Buy",B72="Sell"),D72*E72*IF(EXACT(F72,"GBp"),0.01,1)/IF(G72="",1,G72),"")</f>
        <v/>
      </c>
      <c r="J72" s="45" t="n"/>
      <c r="K72" s="29">
        <f>IF(B72="","",IF(B72="Deposit",J72,IF(B72="Withdrawal",-J72,IF(B72="Buy",-(I72+H72),IF(B72="Sell",I72-H72,IF(B72="Dividend",J72,IF(B72="Fee",-J72,0)))))))</f>
        <v/>
      </c>
      <c r="L72" s="27" t="n"/>
    </row>
    <row r="73">
      <c r="A73" s="43" t="n"/>
      <c r="B73" s="27" t="n"/>
      <c r="C73" s="27" t="n"/>
      <c r="D73" s="44" t="n"/>
      <c r="E73" s="30" t="n"/>
      <c r="F73" s="27" t="n"/>
      <c r="G73" s="31" t="n"/>
      <c r="H73" s="45" t="n"/>
      <c r="I73" s="29">
        <f>IF(OR(B73="Buy",B73="Sell"),D73*E73*IF(EXACT(F73,"GBp"),0.01,1)/IF(G73="",1,G73),"")</f>
        <v/>
      </c>
      <c r="J73" s="45" t="n"/>
      <c r="K73" s="29">
        <f>IF(B73="","",IF(B73="Deposit",J73,IF(B73="Withdrawal",-J73,IF(B73="Buy",-(I73+H73),IF(B73="Sell",I73-H73,IF(B73="Dividend",J73,IF(B73="Fee",-J73,0)))))))</f>
        <v/>
      </c>
      <c r="L73" s="27" t="n"/>
    </row>
    <row r="74">
      <c r="A74" s="43" t="n"/>
      <c r="B74" s="27" t="n"/>
      <c r="C74" s="27" t="n"/>
      <c r="D74" s="44" t="n"/>
      <c r="E74" s="30" t="n"/>
      <c r="F74" s="27" t="n"/>
      <c r="G74" s="31" t="n"/>
      <c r="H74" s="45" t="n"/>
      <c r="I74" s="29">
        <f>IF(OR(B74="Buy",B74="Sell"),D74*E74*IF(EXACT(F74,"GBp"),0.01,1)/IF(G74="",1,G74),"")</f>
        <v/>
      </c>
      <c r="J74" s="45" t="n"/>
      <c r="K74" s="29">
        <f>IF(B74="","",IF(B74="Deposit",J74,IF(B74="Withdrawal",-J74,IF(B74="Buy",-(I74+H74),IF(B74="Sell",I74-H74,IF(B74="Dividend",J74,IF(B74="Fee",-J74,0)))))))</f>
        <v/>
      </c>
      <c r="L74" s="27" t="n"/>
    </row>
    <row r="75">
      <c r="A75" s="43" t="n"/>
      <c r="B75" s="27" t="n"/>
      <c r="C75" s="27" t="n"/>
      <c r="D75" s="44" t="n"/>
      <c r="E75" s="30" t="n"/>
      <c r="F75" s="27" t="n"/>
      <c r="G75" s="31" t="n"/>
      <c r="H75" s="45" t="n"/>
      <c r="I75" s="29">
        <f>IF(OR(B75="Buy",B75="Sell"),D75*E75*IF(EXACT(F75,"GBp"),0.01,1)/IF(G75="",1,G75),"")</f>
        <v/>
      </c>
      <c r="J75" s="45" t="n"/>
      <c r="K75" s="29">
        <f>IF(B75="","",IF(B75="Deposit",J75,IF(B75="Withdrawal",-J75,IF(B75="Buy",-(I75+H75),IF(B75="Sell",I75-H75,IF(B75="Dividend",J75,IF(B75="Fee",-J75,0)))))))</f>
        <v/>
      </c>
      <c r="L75" s="27" t="n"/>
    </row>
    <row r="76">
      <c r="A76" s="43" t="n"/>
      <c r="B76" s="27" t="n"/>
      <c r="C76" s="27" t="n"/>
      <c r="D76" s="44" t="n"/>
      <c r="E76" s="30" t="n"/>
      <c r="F76" s="27" t="n"/>
      <c r="G76" s="31" t="n"/>
      <c r="H76" s="45" t="n"/>
      <c r="I76" s="29">
        <f>IF(OR(B76="Buy",B76="Sell"),D76*E76*IF(EXACT(F76,"GBp"),0.01,1)/IF(G76="",1,G76),"")</f>
        <v/>
      </c>
      <c r="J76" s="45" t="n"/>
      <c r="K76" s="29">
        <f>IF(B76="","",IF(B76="Deposit",J76,IF(B76="Withdrawal",-J76,IF(B76="Buy",-(I76+H76),IF(B76="Sell",I76-H76,IF(B76="Dividend",J76,IF(B76="Fee",-J76,0)))))))</f>
        <v/>
      </c>
      <c r="L76" s="27" t="n"/>
    </row>
    <row r="77">
      <c r="A77" s="43" t="n"/>
      <c r="B77" s="27" t="n"/>
      <c r="C77" s="27" t="n"/>
      <c r="D77" s="44" t="n"/>
      <c r="E77" s="30" t="n"/>
      <c r="F77" s="27" t="n"/>
      <c r="G77" s="31" t="n"/>
      <c r="H77" s="45" t="n"/>
      <c r="I77" s="29">
        <f>IF(OR(B77="Buy",B77="Sell"),D77*E77*IF(EXACT(F77,"GBp"),0.01,1)/IF(G77="",1,G77),"")</f>
        <v/>
      </c>
      <c r="J77" s="45" t="n"/>
      <c r="K77" s="29">
        <f>IF(B77="","",IF(B77="Deposit",J77,IF(B77="Withdrawal",-J77,IF(B77="Buy",-(I77+H77),IF(B77="Sell",I77-H77,IF(B77="Dividend",J77,IF(B77="Fee",-J77,0)))))))</f>
        <v/>
      </c>
      <c r="L77" s="27" t="n"/>
    </row>
    <row r="78">
      <c r="A78" s="43" t="n"/>
      <c r="B78" s="27" t="n"/>
      <c r="C78" s="27" t="n"/>
      <c r="D78" s="44" t="n"/>
      <c r="E78" s="30" t="n"/>
      <c r="F78" s="27" t="n"/>
      <c r="G78" s="31" t="n"/>
      <c r="H78" s="45" t="n"/>
      <c r="I78" s="29">
        <f>IF(OR(B78="Buy",B78="Sell"),D78*E78*IF(EXACT(F78,"GBp"),0.01,1)/IF(G78="",1,G78),"")</f>
        <v/>
      </c>
      <c r="J78" s="45" t="n"/>
      <c r="K78" s="29">
        <f>IF(B78="","",IF(B78="Deposit",J78,IF(B78="Withdrawal",-J78,IF(B78="Buy",-(I78+H78),IF(B78="Sell",I78-H78,IF(B78="Dividend",J78,IF(B78="Fee",-J78,0)))))))</f>
        <v/>
      </c>
      <c r="L78" s="27" t="n"/>
    </row>
    <row r="79">
      <c r="A79" s="43" t="n"/>
      <c r="B79" s="27" t="n"/>
      <c r="C79" s="27" t="n"/>
      <c r="D79" s="44" t="n"/>
      <c r="E79" s="30" t="n"/>
      <c r="F79" s="27" t="n"/>
      <c r="G79" s="31" t="n"/>
      <c r="H79" s="45" t="n"/>
      <c r="I79" s="29">
        <f>IF(OR(B79="Buy",B79="Sell"),D79*E79*IF(EXACT(F79,"GBp"),0.01,1)/IF(G79="",1,G79),"")</f>
        <v/>
      </c>
      <c r="J79" s="45" t="n"/>
      <c r="K79" s="29">
        <f>IF(B79="","",IF(B79="Deposit",J79,IF(B79="Withdrawal",-J79,IF(B79="Buy",-(I79+H79),IF(B79="Sell",I79-H79,IF(B79="Dividend",J79,IF(B79="Fee",-J79,0)))))))</f>
        <v/>
      </c>
      <c r="L79" s="27" t="n"/>
    </row>
    <row r="80">
      <c r="A80" s="43" t="n"/>
      <c r="B80" s="27" t="n"/>
      <c r="C80" s="27" t="n"/>
      <c r="D80" s="44" t="n"/>
      <c r="E80" s="30" t="n"/>
      <c r="F80" s="27" t="n"/>
      <c r="G80" s="31" t="n"/>
      <c r="H80" s="45" t="n"/>
      <c r="I80" s="29">
        <f>IF(OR(B80="Buy",B80="Sell"),D80*E80*IF(EXACT(F80,"GBp"),0.01,1)/IF(G80="",1,G80),"")</f>
        <v/>
      </c>
      <c r="J80" s="45" t="n"/>
      <c r="K80" s="29">
        <f>IF(B80="","",IF(B80="Deposit",J80,IF(B80="Withdrawal",-J80,IF(B80="Buy",-(I80+H80),IF(B80="Sell",I80-H80,IF(B80="Dividend",J80,IF(B80="Fee",-J80,0)))))))</f>
        <v/>
      </c>
      <c r="L80" s="27" t="n"/>
    </row>
    <row r="81">
      <c r="A81" s="43" t="n"/>
      <c r="B81" s="27" t="n"/>
      <c r="C81" s="27" t="n"/>
      <c r="D81" s="44" t="n"/>
      <c r="E81" s="30" t="n"/>
      <c r="F81" s="27" t="n"/>
      <c r="G81" s="31" t="n"/>
      <c r="H81" s="45" t="n"/>
      <c r="I81" s="29">
        <f>IF(OR(B81="Buy",B81="Sell"),D81*E81*IF(EXACT(F81,"GBp"),0.01,1)/IF(G81="",1,G81),"")</f>
        <v/>
      </c>
      <c r="J81" s="45" t="n"/>
      <c r="K81" s="29">
        <f>IF(B81="","",IF(B81="Deposit",J81,IF(B81="Withdrawal",-J81,IF(B81="Buy",-(I81+H81),IF(B81="Sell",I81-H81,IF(B81="Dividend",J81,IF(B81="Fee",-J81,0)))))))</f>
        <v/>
      </c>
      <c r="L81" s="27" t="n"/>
    </row>
    <row r="82">
      <c r="A82" s="43" t="n"/>
      <c r="B82" s="27" t="n"/>
      <c r="C82" s="27" t="n"/>
      <c r="D82" s="44" t="n"/>
      <c r="E82" s="30" t="n"/>
      <c r="F82" s="27" t="n"/>
      <c r="G82" s="31" t="n"/>
      <c r="H82" s="45" t="n"/>
      <c r="I82" s="29">
        <f>IF(OR(B82="Buy",B82="Sell"),D82*E82*IF(EXACT(F82,"GBp"),0.01,1)/IF(G82="",1,G82),"")</f>
        <v/>
      </c>
      <c r="J82" s="45" t="n"/>
      <c r="K82" s="29">
        <f>IF(B82="","",IF(B82="Deposit",J82,IF(B82="Withdrawal",-J82,IF(B82="Buy",-(I82+H82),IF(B82="Sell",I82-H82,IF(B82="Dividend",J82,IF(B82="Fee",-J82,0)))))))</f>
        <v/>
      </c>
      <c r="L82" s="27" t="n"/>
    </row>
    <row r="83">
      <c r="A83" s="43" t="n"/>
      <c r="B83" s="27" t="n"/>
      <c r="C83" s="27" t="n"/>
      <c r="D83" s="44" t="n"/>
      <c r="E83" s="30" t="n"/>
      <c r="F83" s="27" t="n"/>
      <c r="G83" s="31" t="n"/>
      <c r="H83" s="45" t="n"/>
      <c r="I83" s="29">
        <f>IF(OR(B83="Buy",B83="Sell"),D83*E83*IF(EXACT(F83,"GBp"),0.01,1)/IF(G83="",1,G83),"")</f>
        <v/>
      </c>
      <c r="J83" s="45" t="n"/>
      <c r="K83" s="29">
        <f>IF(B83="","",IF(B83="Deposit",J83,IF(B83="Withdrawal",-J83,IF(B83="Buy",-(I83+H83),IF(B83="Sell",I83-H83,IF(B83="Dividend",J83,IF(B83="Fee",-J83,0)))))))</f>
        <v/>
      </c>
      <c r="L83" s="27" t="n"/>
    </row>
    <row r="84">
      <c r="A84" s="43" t="n"/>
      <c r="B84" s="27" t="n"/>
      <c r="C84" s="27" t="n"/>
      <c r="D84" s="44" t="n"/>
      <c r="E84" s="30" t="n"/>
      <c r="F84" s="27" t="n"/>
      <c r="G84" s="31" t="n"/>
      <c r="H84" s="45" t="n"/>
      <c r="I84" s="29">
        <f>IF(OR(B84="Buy",B84="Sell"),D84*E84*IF(EXACT(F84,"GBp"),0.01,1)/IF(G84="",1,G84),"")</f>
        <v/>
      </c>
      <c r="J84" s="45" t="n"/>
      <c r="K84" s="29">
        <f>IF(B84="","",IF(B84="Deposit",J84,IF(B84="Withdrawal",-J84,IF(B84="Buy",-(I84+H84),IF(B84="Sell",I84-H84,IF(B84="Dividend",J84,IF(B84="Fee",-J84,0)))))))</f>
        <v/>
      </c>
      <c r="L84" s="27" t="n"/>
    </row>
    <row r="85">
      <c r="A85" s="43" t="n"/>
      <c r="B85" s="27" t="n"/>
      <c r="C85" s="27" t="n"/>
      <c r="D85" s="44" t="n"/>
      <c r="E85" s="30" t="n"/>
      <c r="F85" s="27" t="n"/>
      <c r="G85" s="31" t="n"/>
      <c r="H85" s="45" t="n"/>
      <c r="I85" s="29">
        <f>IF(OR(B85="Buy",B85="Sell"),D85*E85*IF(EXACT(F85,"GBp"),0.01,1)/IF(G85="",1,G85),"")</f>
        <v/>
      </c>
      <c r="J85" s="45" t="n"/>
      <c r="K85" s="29">
        <f>IF(B85="","",IF(B85="Deposit",J85,IF(B85="Withdrawal",-J85,IF(B85="Buy",-(I85+H85),IF(B85="Sell",I85-H85,IF(B85="Dividend",J85,IF(B85="Fee",-J85,0)))))))</f>
        <v/>
      </c>
      <c r="L85" s="27" t="n"/>
    </row>
    <row r="86">
      <c r="A86" s="43" t="n"/>
      <c r="B86" s="27" t="n"/>
      <c r="C86" s="27" t="n"/>
      <c r="D86" s="44" t="n"/>
      <c r="E86" s="30" t="n"/>
      <c r="F86" s="27" t="n"/>
      <c r="G86" s="31" t="n"/>
      <c r="H86" s="45" t="n"/>
      <c r="I86" s="29">
        <f>IF(OR(B86="Buy",B86="Sell"),D86*E86*IF(EXACT(F86,"GBp"),0.01,1)/IF(G86="",1,G86),"")</f>
        <v/>
      </c>
      <c r="J86" s="45" t="n"/>
      <c r="K86" s="29">
        <f>IF(B86="","",IF(B86="Deposit",J86,IF(B86="Withdrawal",-J86,IF(B86="Buy",-(I86+H86),IF(B86="Sell",I86-H86,IF(B86="Dividend",J86,IF(B86="Fee",-J86,0)))))))</f>
        <v/>
      </c>
      <c r="L86" s="27" t="n"/>
    </row>
    <row r="87">
      <c r="A87" s="43" t="n"/>
      <c r="B87" s="27" t="n"/>
      <c r="C87" s="27" t="n"/>
      <c r="D87" s="44" t="n"/>
      <c r="E87" s="30" t="n"/>
      <c r="F87" s="27" t="n"/>
      <c r="G87" s="31" t="n"/>
      <c r="H87" s="45" t="n"/>
      <c r="I87" s="29">
        <f>IF(OR(B87="Buy",B87="Sell"),D87*E87*IF(EXACT(F87,"GBp"),0.01,1)/IF(G87="",1,G87),"")</f>
        <v/>
      </c>
      <c r="J87" s="45" t="n"/>
      <c r="K87" s="29">
        <f>IF(B87="","",IF(B87="Deposit",J87,IF(B87="Withdrawal",-J87,IF(B87="Buy",-(I87+H87),IF(B87="Sell",I87-H87,IF(B87="Dividend",J87,IF(B87="Fee",-J87,0)))))))</f>
        <v/>
      </c>
      <c r="L87" s="27" t="n"/>
    </row>
    <row r="88">
      <c r="A88" s="43" t="n"/>
      <c r="B88" s="27" t="n"/>
      <c r="C88" s="27" t="n"/>
      <c r="D88" s="44" t="n"/>
      <c r="E88" s="30" t="n"/>
      <c r="F88" s="27" t="n"/>
      <c r="G88" s="31" t="n"/>
      <c r="H88" s="45" t="n"/>
      <c r="I88" s="29">
        <f>IF(OR(B88="Buy",B88="Sell"),D88*E88*IF(EXACT(F88,"GBp"),0.01,1)/IF(G88="",1,G88),"")</f>
        <v/>
      </c>
      <c r="J88" s="45" t="n"/>
      <c r="K88" s="29">
        <f>IF(B88="","",IF(B88="Deposit",J88,IF(B88="Withdrawal",-J88,IF(B88="Buy",-(I88+H88),IF(B88="Sell",I88-H88,IF(B88="Dividend",J88,IF(B88="Fee",-J88,0)))))))</f>
        <v/>
      </c>
      <c r="L88" s="27" t="n"/>
    </row>
    <row r="89">
      <c r="A89" s="43" t="n"/>
      <c r="B89" s="27" t="n"/>
      <c r="C89" s="27" t="n"/>
      <c r="D89" s="44" t="n"/>
      <c r="E89" s="30" t="n"/>
      <c r="F89" s="27" t="n"/>
      <c r="G89" s="31" t="n"/>
      <c r="H89" s="45" t="n"/>
      <c r="I89" s="29">
        <f>IF(OR(B89="Buy",B89="Sell"),D89*E89*IF(EXACT(F89,"GBp"),0.01,1)/IF(G89="",1,G89),"")</f>
        <v/>
      </c>
      <c r="J89" s="45" t="n"/>
      <c r="K89" s="29">
        <f>IF(B89="","",IF(B89="Deposit",J89,IF(B89="Withdrawal",-J89,IF(B89="Buy",-(I89+H89),IF(B89="Sell",I89-H89,IF(B89="Dividend",J89,IF(B89="Fee",-J89,0)))))))</f>
        <v/>
      </c>
      <c r="L89" s="27" t="n"/>
    </row>
    <row r="90">
      <c r="A90" s="43" t="n"/>
      <c r="B90" s="27" t="n"/>
      <c r="C90" s="27" t="n"/>
      <c r="D90" s="44" t="n"/>
      <c r="E90" s="30" t="n"/>
      <c r="F90" s="27" t="n"/>
      <c r="G90" s="31" t="n"/>
      <c r="H90" s="45" t="n"/>
      <c r="I90" s="29">
        <f>IF(OR(B90="Buy",B90="Sell"),D90*E90*IF(EXACT(F90,"GBp"),0.01,1)/IF(G90="",1,G90),"")</f>
        <v/>
      </c>
      <c r="J90" s="45" t="n"/>
      <c r="K90" s="29">
        <f>IF(B90="","",IF(B90="Deposit",J90,IF(B90="Withdrawal",-J90,IF(B90="Buy",-(I90+H90),IF(B90="Sell",I90-H90,IF(B90="Dividend",J90,IF(B90="Fee",-J90,0)))))))</f>
        <v/>
      </c>
      <c r="L90" s="27" t="n"/>
    </row>
    <row r="91">
      <c r="A91" s="43" t="n"/>
      <c r="B91" s="27" t="n"/>
      <c r="C91" s="27" t="n"/>
      <c r="D91" s="44" t="n"/>
      <c r="E91" s="30" t="n"/>
      <c r="F91" s="27" t="n"/>
      <c r="G91" s="31" t="n"/>
      <c r="H91" s="45" t="n"/>
      <c r="I91" s="29">
        <f>IF(OR(B91="Buy",B91="Sell"),D91*E91*IF(EXACT(F91,"GBp"),0.01,1)/IF(G91="",1,G91),"")</f>
        <v/>
      </c>
      <c r="J91" s="45" t="n"/>
      <c r="K91" s="29">
        <f>IF(B91="","",IF(B91="Deposit",J91,IF(B91="Withdrawal",-J91,IF(B91="Buy",-(I91+H91),IF(B91="Sell",I91-H91,IF(B91="Dividend",J91,IF(B91="Fee",-J91,0)))))))</f>
        <v/>
      </c>
      <c r="L91" s="27" t="n"/>
    </row>
    <row r="92">
      <c r="A92" s="43" t="n"/>
      <c r="B92" s="27" t="n"/>
      <c r="C92" s="27" t="n"/>
      <c r="D92" s="44" t="n"/>
      <c r="E92" s="30" t="n"/>
      <c r="F92" s="27" t="n"/>
      <c r="G92" s="31" t="n"/>
      <c r="H92" s="45" t="n"/>
      <c r="I92" s="29">
        <f>IF(OR(B92="Buy",B92="Sell"),D92*E92*IF(EXACT(F92,"GBp"),0.01,1)/IF(G92="",1,G92),"")</f>
        <v/>
      </c>
      <c r="J92" s="45" t="n"/>
      <c r="K92" s="29">
        <f>IF(B92="","",IF(B92="Deposit",J92,IF(B92="Withdrawal",-J92,IF(B92="Buy",-(I92+H92),IF(B92="Sell",I92-H92,IF(B92="Dividend",J92,IF(B92="Fee",-J92,0)))))))</f>
        <v/>
      </c>
      <c r="L92" s="27" t="n"/>
    </row>
    <row r="93">
      <c r="A93" s="43" t="n"/>
      <c r="B93" s="27" t="n"/>
      <c r="C93" s="27" t="n"/>
      <c r="D93" s="44" t="n"/>
      <c r="E93" s="30" t="n"/>
      <c r="F93" s="27" t="n"/>
      <c r="G93" s="31" t="n"/>
      <c r="H93" s="45" t="n"/>
      <c r="I93" s="29">
        <f>IF(OR(B93="Buy",B93="Sell"),D93*E93*IF(EXACT(F93,"GBp"),0.01,1)/IF(G93="",1,G93),"")</f>
        <v/>
      </c>
      <c r="J93" s="45" t="n"/>
      <c r="K93" s="29">
        <f>IF(B93="","",IF(B93="Deposit",J93,IF(B93="Withdrawal",-J93,IF(B93="Buy",-(I93+H93),IF(B93="Sell",I93-H93,IF(B93="Dividend",J93,IF(B93="Fee",-J93,0)))))))</f>
        <v/>
      </c>
      <c r="L93" s="27" t="n"/>
    </row>
    <row r="94">
      <c r="A94" s="43" t="n"/>
      <c r="B94" s="27" t="n"/>
      <c r="C94" s="27" t="n"/>
      <c r="D94" s="44" t="n"/>
      <c r="E94" s="30" t="n"/>
      <c r="F94" s="27" t="n"/>
      <c r="G94" s="31" t="n"/>
      <c r="H94" s="45" t="n"/>
      <c r="I94" s="29">
        <f>IF(OR(B94="Buy",B94="Sell"),D94*E94*IF(EXACT(F94,"GBp"),0.01,1)/IF(G94="",1,G94),"")</f>
        <v/>
      </c>
      <c r="J94" s="45" t="n"/>
      <c r="K94" s="29">
        <f>IF(B94="","",IF(B94="Deposit",J94,IF(B94="Withdrawal",-J94,IF(B94="Buy",-(I94+H94),IF(B94="Sell",I94-H94,IF(B94="Dividend",J94,IF(B94="Fee",-J94,0)))))))</f>
        <v/>
      </c>
      <c r="L94" s="27" t="n"/>
    </row>
    <row r="95">
      <c r="A95" s="43" t="n"/>
      <c r="B95" s="27" t="n"/>
      <c r="C95" s="27" t="n"/>
      <c r="D95" s="44" t="n"/>
      <c r="E95" s="30" t="n"/>
      <c r="F95" s="27" t="n"/>
      <c r="G95" s="31" t="n"/>
      <c r="H95" s="45" t="n"/>
      <c r="I95" s="29">
        <f>IF(OR(B95="Buy",B95="Sell"),D95*E95*IF(EXACT(F95,"GBp"),0.01,1)/IF(G95="",1,G95),"")</f>
        <v/>
      </c>
      <c r="J95" s="45" t="n"/>
      <c r="K95" s="29">
        <f>IF(B95="","",IF(B95="Deposit",J95,IF(B95="Withdrawal",-J95,IF(B95="Buy",-(I95+H95),IF(B95="Sell",I95-H95,IF(B95="Dividend",J95,IF(B95="Fee",-J95,0)))))))</f>
        <v/>
      </c>
      <c r="L95" s="27" t="n"/>
    </row>
    <row r="96">
      <c r="A96" s="43" t="n"/>
      <c r="B96" s="27" t="n"/>
      <c r="C96" s="27" t="n"/>
      <c r="D96" s="44" t="n"/>
      <c r="E96" s="30" t="n"/>
      <c r="F96" s="27" t="n"/>
      <c r="G96" s="31" t="n"/>
      <c r="H96" s="45" t="n"/>
      <c r="I96" s="29">
        <f>IF(OR(B96="Buy",B96="Sell"),D96*E96*IF(EXACT(F96,"GBp"),0.01,1)/IF(G96="",1,G96),"")</f>
        <v/>
      </c>
      <c r="J96" s="45" t="n"/>
      <c r="K96" s="29">
        <f>IF(B96="","",IF(B96="Deposit",J96,IF(B96="Withdrawal",-J96,IF(B96="Buy",-(I96+H96),IF(B96="Sell",I96-H96,IF(B96="Dividend",J96,IF(B96="Fee",-J96,0)))))))</f>
        <v/>
      </c>
      <c r="L96" s="27" t="n"/>
    </row>
    <row r="97">
      <c r="A97" s="43" t="n"/>
      <c r="B97" s="27" t="n"/>
      <c r="C97" s="27" t="n"/>
      <c r="D97" s="44" t="n"/>
      <c r="E97" s="30" t="n"/>
      <c r="F97" s="27" t="n"/>
      <c r="G97" s="31" t="n"/>
      <c r="H97" s="45" t="n"/>
      <c r="I97" s="29">
        <f>IF(OR(B97="Buy",B97="Sell"),D97*E97*IF(EXACT(F97,"GBp"),0.01,1)/IF(G97="",1,G97),"")</f>
        <v/>
      </c>
      <c r="J97" s="45" t="n"/>
      <c r="K97" s="29">
        <f>IF(B97="","",IF(B97="Deposit",J97,IF(B97="Withdrawal",-J97,IF(B97="Buy",-(I97+H97),IF(B97="Sell",I97-H97,IF(B97="Dividend",J97,IF(B97="Fee",-J97,0)))))))</f>
        <v/>
      </c>
      <c r="L97" s="27" t="n"/>
    </row>
    <row r="98">
      <c r="A98" s="43" t="n"/>
      <c r="B98" s="27" t="n"/>
      <c r="C98" s="27" t="n"/>
      <c r="D98" s="44" t="n"/>
      <c r="E98" s="30" t="n"/>
      <c r="F98" s="27" t="n"/>
      <c r="G98" s="31" t="n"/>
      <c r="H98" s="45" t="n"/>
      <c r="I98" s="29">
        <f>IF(OR(B98="Buy",B98="Sell"),D98*E98*IF(EXACT(F98,"GBp"),0.01,1)/IF(G98="",1,G98),"")</f>
        <v/>
      </c>
      <c r="J98" s="45" t="n"/>
      <c r="K98" s="29">
        <f>IF(B98="","",IF(B98="Deposit",J98,IF(B98="Withdrawal",-J98,IF(B98="Buy",-(I98+H98),IF(B98="Sell",I98-H98,IF(B98="Dividend",J98,IF(B98="Fee",-J98,0)))))))</f>
        <v/>
      </c>
      <c r="L98" s="27" t="n"/>
    </row>
    <row r="99">
      <c r="A99" s="43" t="n"/>
      <c r="B99" s="27" t="n"/>
      <c r="C99" s="27" t="n"/>
      <c r="D99" s="44" t="n"/>
      <c r="E99" s="30" t="n"/>
      <c r="F99" s="27" t="n"/>
      <c r="G99" s="31" t="n"/>
      <c r="H99" s="45" t="n"/>
      <c r="I99" s="29">
        <f>IF(OR(B99="Buy",B99="Sell"),D99*E99*IF(EXACT(F99,"GBp"),0.01,1)/IF(G99="",1,G99),"")</f>
        <v/>
      </c>
      <c r="J99" s="45" t="n"/>
      <c r="K99" s="29">
        <f>IF(B99="","",IF(B99="Deposit",J99,IF(B99="Withdrawal",-J99,IF(B99="Buy",-(I99+H99),IF(B99="Sell",I99-H99,IF(B99="Dividend",J99,IF(B99="Fee",-J99,0)))))))</f>
        <v/>
      </c>
      <c r="L99" s="27" t="n"/>
    </row>
    <row r="100">
      <c r="A100" s="43" t="n"/>
      <c r="B100" s="27" t="n"/>
      <c r="C100" s="27" t="n"/>
      <c r="D100" s="44" t="n"/>
      <c r="E100" s="30" t="n"/>
      <c r="F100" s="27" t="n"/>
      <c r="G100" s="31" t="n"/>
      <c r="H100" s="45" t="n"/>
      <c r="I100" s="29">
        <f>IF(OR(B100="Buy",B100="Sell"),D100*E100*IF(EXACT(F100,"GBp"),0.01,1)/IF(G100="",1,G100),"")</f>
        <v/>
      </c>
      <c r="J100" s="45" t="n"/>
      <c r="K100" s="29">
        <f>IF(B100="","",IF(B100="Deposit",J100,IF(B100="Withdrawal",-J100,IF(B100="Buy",-(I100+H100),IF(B100="Sell",I100-H100,IF(B100="Dividend",J100,IF(B100="Fee",-J100,0)))))))</f>
        <v/>
      </c>
      <c r="L100" s="27" t="n"/>
    </row>
    <row r="101">
      <c r="A101" s="43" t="n"/>
      <c r="B101" s="27" t="n"/>
      <c r="C101" s="27" t="n"/>
      <c r="D101" s="44" t="n"/>
      <c r="E101" s="30" t="n"/>
      <c r="F101" s="27" t="n"/>
      <c r="G101" s="31" t="n"/>
      <c r="H101" s="45" t="n"/>
      <c r="I101" s="29">
        <f>IF(OR(B101="Buy",B101="Sell"),D101*E101*IF(EXACT(F101,"GBp"),0.01,1)/IF(G101="",1,G101),"")</f>
        <v/>
      </c>
      <c r="J101" s="45" t="n"/>
      <c r="K101" s="29">
        <f>IF(B101="","",IF(B101="Deposit",J101,IF(B101="Withdrawal",-J101,IF(B101="Buy",-(I101+H101),IF(B101="Sell",I101-H101,IF(B101="Dividend",J101,IF(B101="Fee",-J101,0)))))))</f>
        <v/>
      </c>
      <c r="L101" s="27" t="n"/>
    </row>
    <row r="102">
      <c r="A102" s="43" t="n"/>
      <c r="B102" s="27" t="n"/>
      <c r="C102" s="27" t="n"/>
      <c r="D102" s="44" t="n"/>
      <c r="E102" s="30" t="n"/>
      <c r="F102" s="27" t="n"/>
      <c r="G102" s="31" t="n"/>
      <c r="H102" s="45" t="n"/>
      <c r="I102" s="29">
        <f>IF(OR(B102="Buy",B102="Sell"),D102*E102*IF(EXACT(F102,"GBp"),0.01,1)/IF(G102="",1,G102),"")</f>
        <v/>
      </c>
      <c r="J102" s="45" t="n"/>
      <c r="K102" s="29">
        <f>IF(B102="","",IF(B102="Deposit",J102,IF(B102="Withdrawal",-J102,IF(B102="Buy",-(I102+H102),IF(B102="Sell",I102-H102,IF(B102="Dividend",J102,IF(B102="Fee",-J102,0)))))))</f>
        <v/>
      </c>
      <c r="L102" s="27" t="n"/>
    </row>
    <row r="103">
      <c r="A103" s="43" t="n"/>
      <c r="B103" s="27" t="n"/>
      <c r="C103" s="27" t="n"/>
      <c r="D103" s="44" t="n"/>
      <c r="E103" s="30" t="n"/>
      <c r="F103" s="27" t="n"/>
      <c r="G103" s="31" t="n"/>
      <c r="H103" s="45" t="n"/>
      <c r="I103" s="29">
        <f>IF(OR(B103="Buy",B103="Sell"),D103*E103*IF(EXACT(F103,"GBp"),0.01,1)/IF(G103="",1,G103),"")</f>
        <v/>
      </c>
      <c r="J103" s="45" t="n"/>
      <c r="K103" s="29">
        <f>IF(B103="","",IF(B103="Deposit",J103,IF(B103="Withdrawal",-J103,IF(B103="Buy",-(I103+H103),IF(B103="Sell",I103-H103,IF(B103="Dividend",J103,IF(B103="Fee",-J103,0)))))))</f>
        <v/>
      </c>
      <c r="L103" s="27" t="n"/>
    </row>
    <row r="104">
      <c r="A104" s="43" t="n"/>
      <c r="B104" s="27" t="n"/>
      <c r="C104" s="27" t="n"/>
      <c r="D104" s="44" t="n"/>
      <c r="E104" s="30" t="n"/>
      <c r="F104" s="27" t="n"/>
      <c r="G104" s="31" t="n"/>
      <c r="H104" s="45" t="n"/>
      <c r="I104" s="29">
        <f>IF(OR(B104="Buy",B104="Sell"),D104*E104*IF(EXACT(F104,"GBp"),0.01,1)/IF(G104="",1,G104),"")</f>
        <v/>
      </c>
      <c r="J104" s="45" t="n"/>
      <c r="K104" s="29">
        <f>IF(B104="","",IF(B104="Deposit",J104,IF(B104="Withdrawal",-J104,IF(B104="Buy",-(I104+H104),IF(B104="Sell",I104-H104,IF(B104="Dividend",J104,IF(B104="Fee",-J104,0)))))))</f>
        <v/>
      </c>
      <c r="L104" s="27" t="n"/>
    </row>
    <row r="105">
      <c r="A105" s="43" t="n"/>
      <c r="B105" s="27" t="n"/>
      <c r="C105" s="27" t="n"/>
      <c r="D105" s="44" t="n"/>
      <c r="E105" s="30" t="n"/>
      <c r="F105" s="27" t="n"/>
      <c r="G105" s="31" t="n"/>
      <c r="H105" s="45" t="n"/>
      <c r="I105" s="29">
        <f>IF(OR(B105="Buy",B105="Sell"),D105*E105*IF(EXACT(F105,"GBp"),0.01,1)/IF(G105="",1,G105),"")</f>
        <v/>
      </c>
      <c r="J105" s="45" t="n"/>
      <c r="K105" s="29">
        <f>IF(B105="","",IF(B105="Deposit",J105,IF(B105="Withdrawal",-J105,IF(B105="Buy",-(I105+H105),IF(B105="Sell",I105-H105,IF(B105="Dividend",J105,IF(B105="Fee",-J105,0)))))))</f>
        <v/>
      </c>
      <c r="L105" s="27" t="n"/>
    </row>
    <row r="106">
      <c r="A106" s="43" t="n"/>
      <c r="B106" s="27" t="n"/>
      <c r="C106" s="27" t="n"/>
      <c r="D106" s="44" t="n"/>
      <c r="E106" s="30" t="n"/>
      <c r="F106" s="27" t="n"/>
      <c r="G106" s="31" t="n"/>
      <c r="H106" s="45" t="n"/>
      <c r="I106" s="29">
        <f>IF(OR(B106="Buy",B106="Sell"),D106*E106*IF(EXACT(F106,"GBp"),0.01,1)/IF(G106="",1,G106),"")</f>
        <v/>
      </c>
      <c r="J106" s="45" t="n"/>
      <c r="K106" s="29">
        <f>IF(B106="","",IF(B106="Deposit",J106,IF(B106="Withdrawal",-J106,IF(B106="Buy",-(I106+H106),IF(B106="Sell",I106-H106,IF(B106="Dividend",J106,IF(B106="Fee",-J106,0)))))))</f>
        <v/>
      </c>
      <c r="L106" s="27" t="n"/>
    </row>
    <row r="107">
      <c r="A107" s="43" t="n"/>
      <c r="B107" s="27" t="n"/>
      <c r="C107" s="27" t="n"/>
      <c r="D107" s="44" t="n"/>
      <c r="E107" s="30" t="n"/>
      <c r="F107" s="27" t="n"/>
      <c r="G107" s="31" t="n"/>
      <c r="H107" s="45" t="n"/>
      <c r="I107" s="29">
        <f>IF(OR(B107="Buy",B107="Sell"),D107*E107*IF(EXACT(F107,"GBp"),0.01,1)/IF(G107="",1,G107),"")</f>
        <v/>
      </c>
      <c r="J107" s="45" t="n"/>
      <c r="K107" s="29">
        <f>IF(B107="","",IF(B107="Deposit",J107,IF(B107="Withdrawal",-J107,IF(B107="Buy",-(I107+H107),IF(B107="Sell",I107-H107,IF(B107="Dividend",J107,IF(B107="Fee",-J107,0)))))))</f>
        <v/>
      </c>
      <c r="L107" s="27" t="n"/>
    </row>
    <row r="108">
      <c r="A108" s="43" t="n"/>
      <c r="B108" s="27" t="n"/>
      <c r="C108" s="27" t="n"/>
      <c r="D108" s="44" t="n"/>
      <c r="E108" s="30" t="n"/>
      <c r="F108" s="27" t="n"/>
      <c r="G108" s="31" t="n"/>
      <c r="H108" s="45" t="n"/>
      <c r="I108" s="29">
        <f>IF(OR(B108="Buy",B108="Sell"),D108*E108*IF(EXACT(F108,"GBp"),0.01,1)/IF(G108="",1,G108),"")</f>
        <v/>
      </c>
      <c r="J108" s="45" t="n"/>
      <c r="K108" s="29">
        <f>IF(B108="","",IF(B108="Deposit",J108,IF(B108="Withdrawal",-J108,IF(B108="Buy",-(I108+H108),IF(B108="Sell",I108-H108,IF(B108="Dividend",J108,IF(B108="Fee",-J108,0)))))))</f>
        <v/>
      </c>
      <c r="L108" s="27" t="n"/>
    </row>
    <row r="109">
      <c r="A109" s="43" t="n"/>
      <c r="B109" s="27" t="n"/>
      <c r="C109" s="27" t="n"/>
      <c r="D109" s="44" t="n"/>
      <c r="E109" s="30" t="n"/>
      <c r="F109" s="27" t="n"/>
      <c r="G109" s="31" t="n"/>
      <c r="H109" s="45" t="n"/>
      <c r="I109" s="29">
        <f>IF(OR(B109="Buy",B109="Sell"),D109*E109*IF(EXACT(F109,"GBp"),0.01,1)/IF(G109="",1,G109),"")</f>
        <v/>
      </c>
      <c r="J109" s="45" t="n"/>
      <c r="K109" s="29">
        <f>IF(B109="","",IF(B109="Deposit",J109,IF(B109="Withdrawal",-J109,IF(B109="Buy",-(I109+H109),IF(B109="Sell",I109-H109,IF(B109="Dividend",J109,IF(B109="Fee",-J109,0)))))))</f>
        <v/>
      </c>
      <c r="L109" s="27" t="n"/>
    </row>
    <row r="110">
      <c r="A110" s="43" t="n"/>
      <c r="B110" s="27" t="n"/>
      <c r="C110" s="27" t="n"/>
      <c r="D110" s="44" t="n"/>
      <c r="E110" s="30" t="n"/>
      <c r="F110" s="27" t="n"/>
      <c r="G110" s="31" t="n"/>
      <c r="H110" s="45" t="n"/>
      <c r="I110" s="29">
        <f>IF(OR(B110="Buy",B110="Sell"),D110*E110*IF(EXACT(F110,"GBp"),0.01,1)/IF(G110="",1,G110),"")</f>
        <v/>
      </c>
      <c r="J110" s="45" t="n"/>
      <c r="K110" s="29">
        <f>IF(B110="","",IF(B110="Deposit",J110,IF(B110="Withdrawal",-J110,IF(B110="Buy",-(I110+H110),IF(B110="Sell",I110-H110,IF(B110="Dividend",J110,IF(B110="Fee",-J110,0)))))))</f>
        <v/>
      </c>
      <c r="L110" s="27" t="n"/>
    </row>
    <row r="111">
      <c r="A111" s="43" t="n"/>
      <c r="B111" s="27" t="n"/>
      <c r="C111" s="27" t="n"/>
      <c r="D111" s="44" t="n"/>
      <c r="E111" s="30" t="n"/>
      <c r="F111" s="27" t="n"/>
      <c r="G111" s="31" t="n"/>
      <c r="H111" s="45" t="n"/>
      <c r="I111" s="29">
        <f>IF(OR(B111="Buy",B111="Sell"),D111*E111*IF(EXACT(F111,"GBp"),0.01,1)/IF(G111="",1,G111),"")</f>
        <v/>
      </c>
      <c r="J111" s="45" t="n"/>
      <c r="K111" s="29">
        <f>IF(B111="","",IF(B111="Deposit",J111,IF(B111="Withdrawal",-J111,IF(B111="Buy",-(I111+H111),IF(B111="Sell",I111-H111,IF(B111="Dividend",J111,IF(B111="Fee",-J111,0)))))))</f>
        <v/>
      </c>
      <c r="L111" s="27" t="n"/>
    </row>
    <row r="112">
      <c r="A112" s="43" t="n"/>
      <c r="B112" s="27" t="n"/>
      <c r="C112" s="27" t="n"/>
      <c r="D112" s="44" t="n"/>
      <c r="E112" s="30" t="n"/>
      <c r="F112" s="27" t="n"/>
      <c r="G112" s="31" t="n"/>
      <c r="H112" s="45" t="n"/>
      <c r="I112" s="29">
        <f>IF(OR(B112="Buy",B112="Sell"),D112*E112*IF(EXACT(F112,"GBp"),0.01,1)/IF(G112="",1,G112),"")</f>
        <v/>
      </c>
      <c r="J112" s="45" t="n"/>
      <c r="K112" s="29">
        <f>IF(B112="","",IF(B112="Deposit",J112,IF(B112="Withdrawal",-J112,IF(B112="Buy",-(I112+H112),IF(B112="Sell",I112-H112,IF(B112="Dividend",J112,IF(B112="Fee",-J112,0)))))))</f>
        <v/>
      </c>
      <c r="L112" s="27" t="n"/>
    </row>
    <row r="113">
      <c r="A113" s="43" t="n"/>
      <c r="B113" s="27" t="n"/>
      <c r="C113" s="27" t="n"/>
      <c r="D113" s="44" t="n"/>
      <c r="E113" s="30" t="n"/>
      <c r="F113" s="27" t="n"/>
      <c r="G113" s="31" t="n"/>
      <c r="H113" s="45" t="n"/>
      <c r="I113" s="29">
        <f>IF(OR(B113="Buy",B113="Sell"),D113*E113*IF(EXACT(F113,"GBp"),0.01,1)/IF(G113="",1,G113),"")</f>
        <v/>
      </c>
      <c r="J113" s="45" t="n"/>
      <c r="K113" s="29">
        <f>IF(B113="","",IF(B113="Deposit",J113,IF(B113="Withdrawal",-J113,IF(B113="Buy",-(I113+H113),IF(B113="Sell",I113-H113,IF(B113="Dividend",J113,IF(B113="Fee",-J113,0)))))))</f>
        <v/>
      </c>
      <c r="L113" s="27" t="n"/>
    </row>
    <row r="114">
      <c r="A114" s="43" t="n"/>
      <c r="B114" s="27" t="n"/>
      <c r="C114" s="27" t="n"/>
      <c r="D114" s="44" t="n"/>
      <c r="E114" s="30" t="n"/>
      <c r="F114" s="27" t="n"/>
      <c r="G114" s="31" t="n"/>
      <c r="H114" s="45" t="n"/>
      <c r="I114" s="29">
        <f>IF(OR(B114="Buy",B114="Sell"),D114*E114*IF(EXACT(F114,"GBp"),0.01,1)/IF(G114="",1,G114),"")</f>
        <v/>
      </c>
      <c r="J114" s="45" t="n"/>
      <c r="K114" s="29">
        <f>IF(B114="","",IF(B114="Deposit",J114,IF(B114="Withdrawal",-J114,IF(B114="Buy",-(I114+H114),IF(B114="Sell",I114-H114,IF(B114="Dividend",J114,IF(B114="Fee",-J114,0)))))))</f>
        <v/>
      </c>
      <c r="L114" s="27" t="n"/>
    </row>
    <row r="115">
      <c r="A115" s="43" t="n"/>
      <c r="B115" s="27" t="n"/>
      <c r="C115" s="27" t="n"/>
      <c r="D115" s="44" t="n"/>
      <c r="E115" s="30" t="n"/>
      <c r="F115" s="27" t="n"/>
      <c r="G115" s="31" t="n"/>
      <c r="H115" s="45" t="n"/>
      <c r="I115" s="29">
        <f>IF(OR(B115="Buy",B115="Sell"),D115*E115*IF(EXACT(F115,"GBp"),0.01,1)/IF(G115="",1,G115),"")</f>
        <v/>
      </c>
      <c r="J115" s="45" t="n"/>
      <c r="K115" s="29">
        <f>IF(B115="","",IF(B115="Deposit",J115,IF(B115="Withdrawal",-J115,IF(B115="Buy",-(I115+H115),IF(B115="Sell",I115-H115,IF(B115="Dividend",J115,IF(B115="Fee",-J115,0)))))))</f>
        <v/>
      </c>
      <c r="L115" s="27" t="n"/>
    </row>
    <row r="116">
      <c r="A116" s="43" t="n"/>
      <c r="B116" s="27" t="n"/>
      <c r="C116" s="27" t="n"/>
      <c r="D116" s="44" t="n"/>
      <c r="E116" s="30" t="n"/>
      <c r="F116" s="27" t="n"/>
      <c r="G116" s="31" t="n"/>
      <c r="H116" s="45" t="n"/>
      <c r="I116" s="29">
        <f>IF(OR(B116="Buy",B116="Sell"),D116*E116*IF(EXACT(F116,"GBp"),0.01,1)/IF(G116="",1,G116),"")</f>
        <v/>
      </c>
      <c r="J116" s="45" t="n"/>
      <c r="K116" s="29">
        <f>IF(B116="","",IF(B116="Deposit",J116,IF(B116="Withdrawal",-J116,IF(B116="Buy",-(I116+H116),IF(B116="Sell",I116-H116,IF(B116="Dividend",J116,IF(B116="Fee",-J116,0)))))))</f>
        <v/>
      </c>
      <c r="L116" s="27" t="n"/>
    </row>
    <row r="117">
      <c r="A117" s="43" t="n"/>
      <c r="B117" s="27" t="n"/>
      <c r="C117" s="27" t="n"/>
      <c r="D117" s="44" t="n"/>
      <c r="E117" s="30" t="n"/>
      <c r="F117" s="27" t="n"/>
      <c r="G117" s="31" t="n"/>
      <c r="H117" s="45" t="n"/>
      <c r="I117" s="29">
        <f>IF(OR(B117="Buy",B117="Sell"),D117*E117*IF(EXACT(F117,"GBp"),0.01,1)/IF(G117="",1,G117),"")</f>
        <v/>
      </c>
      <c r="J117" s="45" t="n"/>
      <c r="K117" s="29">
        <f>IF(B117="","",IF(B117="Deposit",J117,IF(B117="Withdrawal",-J117,IF(B117="Buy",-(I117+H117),IF(B117="Sell",I117-H117,IF(B117="Dividend",J117,IF(B117="Fee",-J117,0)))))))</f>
        <v/>
      </c>
      <c r="L117" s="27" t="n"/>
    </row>
    <row r="118">
      <c r="A118" s="43" t="n"/>
      <c r="B118" s="27" t="n"/>
      <c r="C118" s="27" t="n"/>
      <c r="D118" s="44" t="n"/>
      <c r="E118" s="30" t="n"/>
      <c r="F118" s="27" t="n"/>
      <c r="G118" s="31" t="n"/>
      <c r="H118" s="45" t="n"/>
      <c r="I118" s="29">
        <f>IF(OR(B118="Buy",B118="Sell"),D118*E118*IF(EXACT(F118,"GBp"),0.01,1)/IF(G118="",1,G118),"")</f>
        <v/>
      </c>
      <c r="J118" s="45" t="n"/>
      <c r="K118" s="29">
        <f>IF(B118="","",IF(B118="Deposit",J118,IF(B118="Withdrawal",-J118,IF(B118="Buy",-(I118+H118),IF(B118="Sell",I118-H118,IF(B118="Dividend",J118,IF(B118="Fee",-J118,0)))))))</f>
        <v/>
      </c>
      <c r="L118" s="27" t="n"/>
    </row>
    <row r="119">
      <c r="A119" s="43" t="n"/>
      <c r="B119" s="27" t="n"/>
      <c r="C119" s="27" t="n"/>
      <c r="D119" s="44" t="n"/>
      <c r="E119" s="30" t="n"/>
      <c r="F119" s="27" t="n"/>
      <c r="G119" s="31" t="n"/>
      <c r="H119" s="45" t="n"/>
      <c r="I119" s="29">
        <f>IF(OR(B119="Buy",B119="Sell"),D119*E119*IF(EXACT(F119,"GBp"),0.01,1)/IF(G119="",1,G119),"")</f>
        <v/>
      </c>
      <c r="J119" s="45" t="n"/>
      <c r="K119" s="29">
        <f>IF(B119="","",IF(B119="Deposit",J119,IF(B119="Withdrawal",-J119,IF(B119="Buy",-(I119+H119),IF(B119="Sell",I119-H119,IF(B119="Dividend",J119,IF(B119="Fee",-J119,0)))))))</f>
        <v/>
      </c>
      <c r="L119" s="27" t="n"/>
    </row>
    <row r="120">
      <c r="A120" s="43" t="n"/>
      <c r="B120" s="27" t="n"/>
      <c r="C120" s="27" t="n"/>
      <c r="D120" s="44" t="n"/>
      <c r="E120" s="30" t="n"/>
      <c r="F120" s="27" t="n"/>
      <c r="G120" s="31" t="n"/>
      <c r="H120" s="45" t="n"/>
      <c r="I120" s="29">
        <f>IF(OR(B120="Buy",B120="Sell"),D120*E120*IF(EXACT(F120,"GBp"),0.01,1)/IF(G120="",1,G120),"")</f>
        <v/>
      </c>
      <c r="J120" s="45" t="n"/>
      <c r="K120" s="29">
        <f>IF(B120="","",IF(B120="Deposit",J120,IF(B120="Withdrawal",-J120,IF(B120="Buy",-(I120+H120),IF(B120="Sell",I120-H120,IF(B120="Dividend",J120,IF(B120="Fee",-J120,0)))))))</f>
        <v/>
      </c>
      <c r="L120" s="27" t="n"/>
    </row>
    <row r="121">
      <c r="A121" s="43" t="n"/>
      <c r="B121" s="27" t="n"/>
      <c r="C121" s="27" t="n"/>
      <c r="D121" s="44" t="n"/>
      <c r="E121" s="30" t="n"/>
      <c r="F121" s="27" t="n"/>
      <c r="G121" s="31" t="n"/>
      <c r="H121" s="45" t="n"/>
      <c r="I121" s="29">
        <f>IF(OR(B121="Buy",B121="Sell"),D121*E121*IF(EXACT(F121,"GBp"),0.01,1)/IF(G121="",1,G121),"")</f>
        <v/>
      </c>
      <c r="J121" s="45" t="n"/>
      <c r="K121" s="29">
        <f>IF(B121="","",IF(B121="Deposit",J121,IF(B121="Withdrawal",-J121,IF(B121="Buy",-(I121+H121),IF(B121="Sell",I121-H121,IF(B121="Dividend",J121,IF(B121="Fee",-J121,0)))))))</f>
        <v/>
      </c>
      <c r="L121" s="27" t="n"/>
    </row>
    <row r="122">
      <c r="A122" s="43" t="n"/>
      <c r="B122" s="27" t="n"/>
      <c r="C122" s="27" t="n"/>
      <c r="D122" s="44" t="n"/>
      <c r="E122" s="30" t="n"/>
      <c r="F122" s="27" t="n"/>
      <c r="G122" s="31" t="n"/>
      <c r="H122" s="45" t="n"/>
      <c r="I122" s="29">
        <f>IF(OR(B122="Buy",B122="Sell"),D122*E122*IF(EXACT(F122,"GBp"),0.01,1)/IF(G122="",1,G122),"")</f>
        <v/>
      </c>
      <c r="J122" s="45" t="n"/>
      <c r="K122" s="29">
        <f>IF(B122="","",IF(B122="Deposit",J122,IF(B122="Withdrawal",-J122,IF(B122="Buy",-(I122+H122),IF(B122="Sell",I122-H122,IF(B122="Dividend",J122,IF(B122="Fee",-J122,0)))))))</f>
        <v/>
      </c>
      <c r="L122" s="27" t="n"/>
    </row>
    <row r="123">
      <c r="A123" s="43" t="n"/>
      <c r="B123" s="27" t="n"/>
      <c r="C123" s="27" t="n"/>
      <c r="D123" s="44" t="n"/>
      <c r="E123" s="30" t="n"/>
      <c r="F123" s="27" t="n"/>
      <c r="G123" s="31" t="n"/>
      <c r="H123" s="45" t="n"/>
      <c r="I123" s="29">
        <f>IF(OR(B123="Buy",B123="Sell"),D123*E123*IF(EXACT(F123,"GBp"),0.01,1)/IF(G123="",1,G123),"")</f>
        <v/>
      </c>
      <c r="J123" s="45" t="n"/>
      <c r="K123" s="29">
        <f>IF(B123="","",IF(B123="Deposit",J123,IF(B123="Withdrawal",-J123,IF(B123="Buy",-(I123+H123),IF(B123="Sell",I123-H123,IF(B123="Dividend",J123,IF(B123="Fee",-J123,0)))))))</f>
        <v/>
      </c>
      <c r="L123" s="27" t="n"/>
    </row>
    <row r="124">
      <c r="A124" s="43" t="n"/>
      <c r="B124" s="27" t="n"/>
      <c r="C124" s="27" t="n"/>
      <c r="D124" s="44" t="n"/>
      <c r="E124" s="30" t="n"/>
      <c r="F124" s="27" t="n"/>
      <c r="G124" s="31" t="n"/>
      <c r="H124" s="45" t="n"/>
      <c r="I124" s="29">
        <f>IF(OR(B124="Buy",B124="Sell"),D124*E124*IF(EXACT(F124,"GBp"),0.01,1)/IF(G124="",1,G124),"")</f>
        <v/>
      </c>
      <c r="J124" s="45" t="n"/>
      <c r="K124" s="29">
        <f>IF(B124="","",IF(B124="Deposit",J124,IF(B124="Withdrawal",-J124,IF(B124="Buy",-(I124+H124),IF(B124="Sell",I124-H124,IF(B124="Dividend",J124,IF(B124="Fee",-J124,0)))))))</f>
        <v/>
      </c>
      <c r="L124" s="27" t="n"/>
    </row>
    <row r="125">
      <c r="A125" s="43" t="n"/>
      <c r="B125" s="27" t="n"/>
      <c r="C125" s="27" t="n"/>
      <c r="D125" s="44" t="n"/>
      <c r="E125" s="30" t="n"/>
      <c r="F125" s="27" t="n"/>
      <c r="G125" s="31" t="n"/>
      <c r="H125" s="45" t="n"/>
      <c r="I125" s="29">
        <f>IF(OR(B125="Buy",B125="Sell"),D125*E125*IF(EXACT(F125,"GBp"),0.01,1)/IF(G125="",1,G125),"")</f>
        <v/>
      </c>
      <c r="J125" s="45" t="n"/>
      <c r="K125" s="29">
        <f>IF(B125="","",IF(B125="Deposit",J125,IF(B125="Withdrawal",-J125,IF(B125="Buy",-(I125+H125),IF(B125="Sell",I125-H125,IF(B125="Dividend",J125,IF(B125="Fee",-J125,0)))))))</f>
        <v/>
      </c>
      <c r="L125" s="27" t="n"/>
    </row>
    <row r="126">
      <c r="A126" s="43" t="n"/>
      <c r="B126" s="27" t="n"/>
      <c r="C126" s="27" t="n"/>
      <c r="D126" s="44" t="n"/>
      <c r="E126" s="30" t="n"/>
      <c r="F126" s="27" t="n"/>
      <c r="G126" s="31" t="n"/>
      <c r="H126" s="45" t="n"/>
      <c r="I126" s="29">
        <f>IF(OR(B126="Buy",B126="Sell"),D126*E126*IF(EXACT(F126,"GBp"),0.01,1)/IF(G126="",1,G126),"")</f>
        <v/>
      </c>
      <c r="J126" s="45" t="n"/>
      <c r="K126" s="29">
        <f>IF(B126="","",IF(B126="Deposit",J126,IF(B126="Withdrawal",-J126,IF(B126="Buy",-(I126+H126),IF(B126="Sell",I126-H126,IF(B126="Dividend",J126,IF(B126="Fee",-J126,0)))))))</f>
        <v/>
      </c>
      <c r="L126" s="27" t="n"/>
    </row>
    <row r="127">
      <c r="A127" s="43" t="n"/>
      <c r="B127" s="27" t="n"/>
      <c r="C127" s="27" t="n"/>
      <c r="D127" s="44" t="n"/>
      <c r="E127" s="30" t="n"/>
      <c r="F127" s="27" t="n"/>
      <c r="G127" s="31" t="n"/>
      <c r="H127" s="45" t="n"/>
      <c r="I127" s="29">
        <f>IF(OR(B127="Buy",B127="Sell"),D127*E127*IF(EXACT(F127,"GBp"),0.01,1)/IF(G127="",1,G127),"")</f>
        <v/>
      </c>
      <c r="J127" s="45" t="n"/>
      <c r="K127" s="29">
        <f>IF(B127="","",IF(B127="Deposit",J127,IF(B127="Withdrawal",-J127,IF(B127="Buy",-(I127+H127),IF(B127="Sell",I127-H127,IF(B127="Dividend",J127,IF(B127="Fee",-J127,0)))))))</f>
        <v/>
      </c>
      <c r="L127" s="27" t="n"/>
    </row>
    <row r="128">
      <c r="A128" s="43" t="n"/>
      <c r="B128" s="27" t="n"/>
      <c r="C128" s="27" t="n"/>
      <c r="D128" s="44" t="n"/>
      <c r="E128" s="30" t="n"/>
      <c r="F128" s="27" t="n"/>
      <c r="G128" s="31" t="n"/>
      <c r="H128" s="45" t="n"/>
      <c r="I128" s="29">
        <f>IF(OR(B128="Buy",B128="Sell"),D128*E128*IF(EXACT(F128,"GBp"),0.01,1)/IF(G128="",1,G128),"")</f>
        <v/>
      </c>
      <c r="J128" s="45" t="n"/>
      <c r="K128" s="29">
        <f>IF(B128="","",IF(B128="Deposit",J128,IF(B128="Withdrawal",-J128,IF(B128="Buy",-(I128+H128),IF(B128="Sell",I128-H128,IF(B128="Dividend",J128,IF(B128="Fee",-J128,0)))))))</f>
        <v/>
      </c>
      <c r="L128" s="27" t="n"/>
    </row>
    <row r="129">
      <c r="A129" s="43" t="n"/>
      <c r="B129" s="27" t="n"/>
      <c r="C129" s="27" t="n"/>
      <c r="D129" s="44" t="n"/>
      <c r="E129" s="30" t="n"/>
      <c r="F129" s="27" t="n"/>
      <c r="G129" s="31" t="n"/>
      <c r="H129" s="45" t="n"/>
      <c r="I129" s="29">
        <f>IF(OR(B129="Buy",B129="Sell"),D129*E129*IF(EXACT(F129,"GBp"),0.01,1)/IF(G129="",1,G129),"")</f>
        <v/>
      </c>
      <c r="J129" s="45" t="n"/>
      <c r="K129" s="29">
        <f>IF(B129="","",IF(B129="Deposit",J129,IF(B129="Withdrawal",-J129,IF(B129="Buy",-(I129+H129),IF(B129="Sell",I129-H129,IF(B129="Dividend",J129,IF(B129="Fee",-J129,0)))))))</f>
        <v/>
      </c>
      <c r="L129" s="27" t="n"/>
    </row>
    <row r="130">
      <c r="A130" s="43" t="n"/>
      <c r="B130" s="27" t="n"/>
      <c r="C130" s="27" t="n"/>
      <c r="D130" s="44" t="n"/>
      <c r="E130" s="30" t="n"/>
      <c r="F130" s="27" t="n"/>
      <c r="G130" s="31" t="n"/>
      <c r="H130" s="45" t="n"/>
      <c r="I130" s="29">
        <f>IF(OR(B130="Buy",B130="Sell"),D130*E130*IF(EXACT(F130,"GBp"),0.01,1)/IF(G130="",1,G130),"")</f>
        <v/>
      </c>
      <c r="J130" s="45" t="n"/>
      <c r="K130" s="29">
        <f>IF(B130="","",IF(B130="Deposit",J130,IF(B130="Withdrawal",-J130,IF(B130="Buy",-(I130+H130),IF(B130="Sell",I130-H130,IF(B130="Dividend",J130,IF(B130="Fee",-J130,0)))))))</f>
        <v/>
      </c>
      <c r="L130" s="27" t="n"/>
    </row>
    <row r="131">
      <c r="A131" s="43" t="n"/>
      <c r="B131" s="27" t="n"/>
      <c r="C131" s="27" t="n"/>
      <c r="D131" s="44" t="n"/>
      <c r="E131" s="30" t="n"/>
      <c r="F131" s="27" t="n"/>
      <c r="G131" s="31" t="n"/>
      <c r="H131" s="45" t="n"/>
      <c r="I131" s="29">
        <f>IF(OR(B131="Buy",B131="Sell"),D131*E131*IF(EXACT(F131,"GBp"),0.01,1)/IF(G131="",1,G131),"")</f>
        <v/>
      </c>
      <c r="J131" s="45" t="n"/>
      <c r="K131" s="29">
        <f>IF(B131="","",IF(B131="Deposit",J131,IF(B131="Withdrawal",-J131,IF(B131="Buy",-(I131+H131),IF(B131="Sell",I131-H131,IF(B131="Dividend",J131,IF(B131="Fee",-J131,0)))))))</f>
        <v/>
      </c>
      <c r="L131" s="27" t="n"/>
    </row>
    <row r="132">
      <c r="A132" s="43" t="n"/>
      <c r="B132" s="27" t="n"/>
      <c r="C132" s="27" t="n"/>
      <c r="D132" s="44" t="n"/>
      <c r="E132" s="30" t="n"/>
      <c r="F132" s="27" t="n"/>
      <c r="G132" s="31" t="n"/>
      <c r="H132" s="45" t="n"/>
      <c r="I132" s="29">
        <f>IF(OR(B132="Buy",B132="Sell"),D132*E132*IF(EXACT(F132,"GBp"),0.01,1)/IF(G132="",1,G132),"")</f>
        <v/>
      </c>
      <c r="J132" s="45" t="n"/>
      <c r="K132" s="29">
        <f>IF(B132="","",IF(B132="Deposit",J132,IF(B132="Withdrawal",-J132,IF(B132="Buy",-(I132+H132),IF(B132="Sell",I132-H132,IF(B132="Dividend",J132,IF(B132="Fee",-J132,0)))))))</f>
        <v/>
      </c>
      <c r="L132" s="27" t="n"/>
    </row>
    <row r="133">
      <c r="A133" s="43" t="n"/>
      <c r="B133" s="27" t="n"/>
      <c r="C133" s="27" t="n"/>
      <c r="D133" s="44" t="n"/>
      <c r="E133" s="30" t="n"/>
      <c r="F133" s="27" t="n"/>
      <c r="G133" s="31" t="n"/>
      <c r="H133" s="45" t="n"/>
      <c r="I133" s="29">
        <f>IF(OR(B133="Buy",B133="Sell"),D133*E133*IF(EXACT(F133,"GBp"),0.01,1)/IF(G133="",1,G133),"")</f>
        <v/>
      </c>
      <c r="J133" s="45" t="n"/>
      <c r="K133" s="29">
        <f>IF(B133="","",IF(B133="Deposit",J133,IF(B133="Withdrawal",-J133,IF(B133="Buy",-(I133+H133),IF(B133="Sell",I133-H133,IF(B133="Dividend",J133,IF(B133="Fee",-J133,0)))))))</f>
        <v/>
      </c>
      <c r="L133" s="27" t="n"/>
    </row>
    <row r="134">
      <c r="A134" s="43" t="n"/>
      <c r="B134" s="27" t="n"/>
      <c r="C134" s="27" t="n"/>
      <c r="D134" s="44" t="n"/>
      <c r="E134" s="30" t="n"/>
      <c r="F134" s="27" t="n"/>
      <c r="G134" s="31" t="n"/>
      <c r="H134" s="45" t="n"/>
      <c r="I134" s="29">
        <f>IF(OR(B134="Buy",B134="Sell"),D134*E134*IF(EXACT(F134,"GBp"),0.01,1)/IF(G134="",1,G134),"")</f>
        <v/>
      </c>
      <c r="J134" s="45" t="n"/>
      <c r="K134" s="29">
        <f>IF(B134="","",IF(B134="Deposit",J134,IF(B134="Withdrawal",-J134,IF(B134="Buy",-(I134+H134),IF(B134="Sell",I134-H134,IF(B134="Dividend",J134,IF(B134="Fee",-J134,0)))))))</f>
        <v/>
      </c>
      <c r="L134" s="27" t="n"/>
    </row>
    <row r="135">
      <c r="A135" s="43" t="n"/>
      <c r="B135" s="27" t="n"/>
      <c r="C135" s="27" t="n"/>
      <c r="D135" s="44" t="n"/>
      <c r="E135" s="30" t="n"/>
      <c r="F135" s="27" t="n"/>
      <c r="G135" s="31" t="n"/>
      <c r="H135" s="45" t="n"/>
      <c r="I135" s="29">
        <f>IF(OR(B135="Buy",B135="Sell"),D135*E135*IF(EXACT(F135,"GBp"),0.01,1)/IF(G135="",1,G135),"")</f>
        <v/>
      </c>
      <c r="J135" s="45" t="n"/>
      <c r="K135" s="29">
        <f>IF(B135="","",IF(B135="Deposit",J135,IF(B135="Withdrawal",-J135,IF(B135="Buy",-(I135+H135),IF(B135="Sell",I135-H135,IF(B135="Dividend",J135,IF(B135="Fee",-J135,0)))))))</f>
        <v/>
      </c>
      <c r="L135" s="27" t="n"/>
    </row>
    <row r="136">
      <c r="A136" s="43" t="n"/>
      <c r="B136" s="27" t="n"/>
      <c r="C136" s="27" t="n"/>
      <c r="D136" s="44" t="n"/>
      <c r="E136" s="30" t="n"/>
      <c r="F136" s="27" t="n"/>
      <c r="G136" s="31" t="n"/>
      <c r="H136" s="45" t="n"/>
      <c r="I136" s="29">
        <f>IF(OR(B136="Buy",B136="Sell"),D136*E136*IF(EXACT(F136,"GBp"),0.01,1)/IF(G136="",1,G136),"")</f>
        <v/>
      </c>
      <c r="J136" s="45" t="n"/>
      <c r="K136" s="29">
        <f>IF(B136="","",IF(B136="Deposit",J136,IF(B136="Withdrawal",-J136,IF(B136="Buy",-(I136+H136),IF(B136="Sell",I136-H136,IF(B136="Dividend",J136,IF(B136="Fee",-J136,0)))))))</f>
        <v/>
      </c>
      <c r="L136" s="27" t="n"/>
    </row>
    <row r="137">
      <c r="A137" s="43" t="n"/>
      <c r="B137" s="27" t="n"/>
      <c r="C137" s="27" t="n"/>
      <c r="D137" s="44" t="n"/>
      <c r="E137" s="30" t="n"/>
      <c r="F137" s="27" t="n"/>
      <c r="G137" s="31" t="n"/>
      <c r="H137" s="45" t="n"/>
      <c r="I137" s="29">
        <f>IF(OR(B137="Buy",B137="Sell"),D137*E137*IF(EXACT(F137,"GBp"),0.01,1)/IF(G137="",1,G137),"")</f>
        <v/>
      </c>
      <c r="J137" s="45" t="n"/>
      <c r="K137" s="29">
        <f>IF(B137="","",IF(B137="Deposit",J137,IF(B137="Withdrawal",-J137,IF(B137="Buy",-(I137+H137),IF(B137="Sell",I137-H137,IF(B137="Dividend",J137,IF(B137="Fee",-J137,0)))))))</f>
        <v/>
      </c>
      <c r="L137" s="27" t="n"/>
    </row>
    <row r="138">
      <c r="A138" s="43" t="n"/>
      <c r="B138" s="27" t="n"/>
      <c r="C138" s="27" t="n"/>
      <c r="D138" s="44" t="n"/>
      <c r="E138" s="30" t="n"/>
      <c r="F138" s="27" t="n"/>
      <c r="G138" s="31" t="n"/>
      <c r="H138" s="45" t="n"/>
      <c r="I138" s="29">
        <f>IF(OR(B138="Buy",B138="Sell"),D138*E138*IF(EXACT(F138,"GBp"),0.01,1)/IF(G138="",1,G138),"")</f>
        <v/>
      </c>
      <c r="J138" s="45" t="n"/>
      <c r="K138" s="29">
        <f>IF(B138="","",IF(B138="Deposit",J138,IF(B138="Withdrawal",-J138,IF(B138="Buy",-(I138+H138),IF(B138="Sell",I138-H138,IF(B138="Dividend",J138,IF(B138="Fee",-J138,0)))))))</f>
        <v/>
      </c>
      <c r="L138" s="27" t="n"/>
    </row>
    <row r="139">
      <c r="A139" s="43" t="n"/>
      <c r="B139" s="27" t="n"/>
      <c r="C139" s="27" t="n"/>
      <c r="D139" s="44" t="n"/>
      <c r="E139" s="30" t="n"/>
      <c r="F139" s="27" t="n"/>
      <c r="G139" s="31" t="n"/>
      <c r="H139" s="45" t="n"/>
      <c r="I139" s="29">
        <f>IF(OR(B139="Buy",B139="Sell"),D139*E139*IF(EXACT(F139,"GBp"),0.01,1)/IF(G139="",1,G139),"")</f>
        <v/>
      </c>
      <c r="J139" s="45" t="n"/>
      <c r="K139" s="29">
        <f>IF(B139="","",IF(B139="Deposit",J139,IF(B139="Withdrawal",-J139,IF(B139="Buy",-(I139+H139),IF(B139="Sell",I139-H139,IF(B139="Dividend",J139,IF(B139="Fee",-J139,0)))))))</f>
        <v/>
      </c>
      <c r="L139" s="27" t="n"/>
    </row>
    <row r="140">
      <c r="A140" s="43" t="n"/>
      <c r="B140" s="27" t="n"/>
      <c r="C140" s="27" t="n"/>
      <c r="D140" s="44" t="n"/>
      <c r="E140" s="30" t="n"/>
      <c r="F140" s="27" t="n"/>
      <c r="G140" s="31" t="n"/>
      <c r="H140" s="45" t="n"/>
      <c r="I140" s="29">
        <f>IF(OR(B140="Buy",B140="Sell"),D140*E140*IF(EXACT(F140,"GBp"),0.01,1)/IF(G140="",1,G140),"")</f>
        <v/>
      </c>
      <c r="J140" s="45" t="n"/>
      <c r="K140" s="29">
        <f>IF(B140="","",IF(B140="Deposit",J140,IF(B140="Withdrawal",-J140,IF(B140="Buy",-(I140+H140),IF(B140="Sell",I140-H140,IF(B140="Dividend",J140,IF(B140="Fee",-J140,0)))))))</f>
        <v/>
      </c>
      <c r="L140" s="27" t="n"/>
    </row>
    <row r="141">
      <c r="A141" s="43" t="n"/>
      <c r="B141" s="27" t="n"/>
      <c r="C141" s="27" t="n"/>
      <c r="D141" s="44" t="n"/>
      <c r="E141" s="30" t="n"/>
      <c r="F141" s="27" t="n"/>
      <c r="G141" s="31" t="n"/>
      <c r="H141" s="45" t="n"/>
      <c r="I141" s="29">
        <f>IF(OR(B141="Buy",B141="Sell"),D141*E141*IF(EXACT(F141,"GBp"),0.01,1)/IF(G141="",1,G141),"")</f>
        <v/>
      </c>
      <c r="J141" s="45" t="n"/>
      <c r="K141" s="29">
        <f>IF(B141="","",IF(B141="Deposit",J141,IF(B141="Withdrawal",-J141,IF(B141="Buy",-(I141+H141),IF(B141="Sell",I141-H141,IF(B141="Dividend",J141,IF(B141="Fee",-J141,0)))))))</f>
        <v/>
      </c>
      <c r="L141" s="27" t="n"/>
    </row>
    <row r="142">
      <c r="A142" s="43" t="n"/>
      <c r="B142" s="27" t="n"/>
      <c r="C142" s="27" t="n"/>
      <c r="D142" s="44" t="n"/>
      <c r="E142" s="30" t="n"/>
      <c r="F142" s="27" t="n"/>
      <c r="G142" s="31" t="n"/>
      <c r="H142" s="45" t="n"/>
      <c r="I142" s="29">
        <f>IF(OR(B142="Buy",B142="Sell"),D142*E142*IF(EXACT(F142,"GBp"),0.01,1)/IF(G142="",1,G142),"")</f>
        <v/>
      </c>
      <c r="J142" s="45" t="n"/>
      <c r="K142" s="29">
        <f>IF(B142="","",IF(B142="Deposit",J142,IF(B142="Withdrawal",-J142,IF(B142="Buy",-(I142+H142),IF(B142="Sell",I142-H142,IF(B142="Dividend",J142,IF(B142="Fee",-J142,0)))))))</f>
        <v/>
      </c>
      <c r="L142" s="27" t="n"/>
    </row>
    <row r="143">
      <c r="A143" s="43" t="n"/>
      <c r="B143" s="27" t="n"/>
      <c r="C143" s="27" t="n"/>
      <c r="D143" s="44" t="n"/>
      <c r="E143" s="30" t="n"/>
      <c r="F143" s="27" t="n"/>
      <c r="G143" s="31" t="n"/>
      <c r="H143" s="45" t="n"/>
      <c r="I143" s="29">
        <f>IF(OR(B143="Buy",B143="Sell"),D143*E143*IF(EXACT(F143,"GBp"),0.01,1)/IF(G143="",1,G143),"")</f>
        <v/>
      </c>
      <c r="J143" s="45" t="n"/>
      <c r="K143" s="29">
        <f>IF(B143="","",IF(B143="Deposit",J143,IF(B143="Withdrawal",-J143,IF(B143="Buy",-(I143+H143),IF(B143="Sell",I143-H143,IF(B143="Dividend",J143,IF(B143="Fee",-J143,0)))))))</f>
        <v/>
      </c>
      <c r="L143" s="27" t="n"/>
    </row>
    <row r="144">
      <c r="A144" s="43" t="n"/>
      <c r="B144" s="27" t="n"/>
      <c r="C144" s="27" t="n"/>
      <c r="D144" s="44" t="n"/>
      <c r="E144" s="30" t="n"/>
      <c r="F144" s="27" t="n"/>
      <c r="G144" s="31" t="n"/>
      <c r="H144" s="45" t="n"/>
      <c r="I144" s="29">
        <f>IF(OR(B144="Buy",B144="Sell"),D144*E144*IF(EXACT(F144,"GBp"),0.01,1)/IF(G144="",1,G144),"")</f>
        <v/>
      </c>
      <c r="J144" s="45" t="n"/>
      <c r="K144" s="29">
        <f>IF(B144="","",IF(B144="Deposit",J144,IF(B144="Withdrawal",-J144,IF(B144="Buy",-(I144+H144),IF(B144="Sell",I144-H144,IF(B144="Dividend",J144,IF(B144="Fee",-J144,0)))))))</f>
        <v/>
      </c>
      <c r="L144" s="27" t="n"/>
    </row>
    <row r="145">
      <c r="A145" s="43" t="n"/>
      <c r="B145" s="27" t="n"/>
      <c r="C145" s="27" t="n"/>
      <c r="D145" s="44" t="n"/>
      <c r="E145" s="30" t="n"/>
      <c r="F145" s="27" t="n"/>
      <c r="G145" s="31" t="n"/>
      <c r="H145" s="45" t="n"/>
      <c r="I145" s="29">
        <f>IF(OR(B145="Buy",B145="Sell"),D145*E145*IF(EXACT(F145,"GBp"),0.01,1)/IF(G145="",1,G145),"")</f>
        <v/>
      </c>
      <c r="J145" s="45" t="n"/>
      <c r="K145" s="29">
        <f>IF(B145="","",IF(B145="Deposit",J145,IF(B145="Withdrawal",-J145,IF(B145="Buy",-(I145+H145),IF(B145="Sell",I145-H145,IF(B145="Dividend",J145,IF(B145="Fee",-J145,0)))))))</f>
        <v/>
      </c>
      <c r="L145" s="27" t="n"/>
    </row>
    <row r="146">
      <c r="A146" s="43" t="n"/>
      <c r="B146" s="27" t="n"/>
      <c r="C146" s="27" t="n"/>
      <c r="D146" s="44" t="n"/>
      <c r="E146" s="30" t="n"/>
      <c r="F146" s="27" t="n"/>
      <c r="G146" s="31" t="n"/>
      <c r="H146" s="45" t="n"/>
      <c r="I146" s="29">
        <f>IF(OR(B146="Buy",B146="Sell"),D146*E146*IF(EXACT(F146,"GBp"),0.01,1)/IF(G146="",1,G146),"")</f>
        <v/>
      </c>
      <c r="J146" s="45" t="n"/>
      <c r="K146" s="29">
        <f>IF(B146="","",IF(B146="Deposit",J146,IF(B146="Withdrawal",-J146,IF(B146="Buy",-(I146+H146),IF(B146="Sell",I146-H146,IF(B146="Dividend",J146,IF(B146="Fee",-J146,0)))))))</f>
        <v/>
      </c>
      <c r="L146" s="27" t="n"/>
    </row>
    <row r="147">
      <c r="A147" s="43" t="n"/>
      <c r="B147" s="27" t="n"/>
      <c r="C147" s="27" t="n"/>
      <c r="D147" s="44" t="n"/>
      <c r="E147" s="30" t="n"/>
      <c r="F147" s="27" t="n"/>
      <c r="G147" s="31" t="n"/>
      <c r="H147" s="45" t="n"/>
      <c r="I147" s="29">
        <f>IF(OR(B147="Buy",B147="Sell"),D147*E147*IF(EXACT(F147,"GBp"),0.01,1)/IF(G147="",1,G147),"")</f>
        <v/>
      </c>
      <c r="J147" s="45" t="n"/>
      <c r="K147" s="29">
        <f>IF(B147="","",IF(B147="Deposit",J147,IF(B147="Withdrawal",-J147,IF(B147="Buy",-(I147+H147),IF(B147="Sell",I147-H147,IF(B147="Dividend",J147,IF(B147="Fee",-J147,0)))))))</f>
        <v/>
      </c>
      <c r="L147" s="27" t="n"/>
    </row>
    <row r="148">
      <c r="A148" s="43" t="n"/>
      <c r="B148" s="27" t="n"/>
      <c r="C148" s="27" t="n"/>
      <c r="D148" s="44" t="n"/>
      <c r="E148" s="30" t="n"/>
      <c r="F148" s="27" t="n"/>
      <c r="G148" s="31" t="n"/>
      <c r="H148" s="45" t="n"/>
      <c r="I148" s="29">
        <f>IF(OR(B148="Buy",B148="Sell"),D148*E148*IF(EXACT(F148,"GBp"),0.01,1)/IF(G148="",1,G148),"")</f>
        <v/>
      </c>
      <c r="J148" s="45" t="n"/>
      <c r="K148" s="29">
        <f>IF(B148="","",IF(B148="Deposit",J148,IF(B148="Withdrawal",-J148,IF(B148="Buy",-(I148+H148),IF(B148="Sell",I148-H148,IF(B148="Dividend",J148,IF(B148="Fee",-J148,0)))))))</f>
        <v/>
      </c>
      <c r="L148" s="27" t="n"/>
    </row>
    <row r="149">
      <c r="A149" s="43" t="n"/>
      <c r="B149" s="27" t="n"/>
      <c r="C149" s="27" t="n"/>
      <c r="D149" s="44" t="n"/>
      <c r="E149" s="30" t="n"/>
      <c r="F149" s="27" t="n"/>
      <c r="G149" s="31" t="n"/>
      <c r="H149" s="45" t="n"/>
      <c r="I149" s="29">
        <f>IF(OR(B149="Buy",B149="Sell"),D149*E149*IF(EXACT(F149,"GBp"),0.01,1)/IF(G149="",1,G149),"")</f>
        <v/>
      </c>
      <c r="J149" s="45" t="n"/>
      <c r="K149" s="29">
        <f>IF(B149="","",IF(B149="Deposit",J149,IF(B149="Withdrawal",-J149,IF(B149="Buy",-(I149+H149),IF(B149="Sell",I149-H149,IF(B149="Dividend",J149,IF(B149="Fee",-J149,0)))))))</f>
        <v/>
      </c>
      <c r="L149" s="27" t="n"/>
    </row>
    <row r="150">
      <c r="A150" s="43" t="n"/>
      <c r="B150" s="27" t="n"/>
      <c r="C150" s="27" t="n"/>
      <c r="D150" s="44" t="n"/>
      <c r="E150" s="30" t="n"/>
      <c r="F150" s="27" t="n"/>
      <c r="G150" s="31" t="n"/>
      <c r="H150" s="45" t="n"/>
      <c r="I150" s="29">
        <f>IF(OR(B150="Buy",B150="Sell"),D150*E150*IF(EXACT(F150,"GBp"),0.01,1)/IF(G150="",1,G150),"")</f>
        <v/>
      </c>
      <c r="J150" s="45" t="n"/>
      <c r="K150" s="29">
        <f>IF(B150="","",IF(B150="Deposit",J150,IF(B150="Withdrawal",-J150,IF(B150="Buy",-(I150+H150),IF(B150="Sell",I150-H150,IF(B150="Dividend",J150,IF(B150="Fee",-J150,0)))))))</f>
        <v/>
      </c>
      <c r="L150" s="27" t="n"/>
    </row>
    <row r="151">
      <c r="A151" s="43" t="n"/>
      <c r="B151" s="27" t="n"/>
      <c r="C151" s="27" t="n"/>
      <c r="D151" s="44" t="n"/>
      <c r="E151" s="30" t="n"/>
      <c r="F151" s="27" t="n"/>
      <c r="G151" s="31" t="n"/>
      <c r="H151" s="45" t="n"/>
      <c r="I151" s="29">
        <f>IF(OR(B151="Buy",B151="Sell"),D151*E151*IF(EXACT(F151,"GBp"),0.01,1)/IF(G151="",1,G151),"")</f>
        <v/>
      </c>
      <c r="J151" s="45" t="n"/>
      <c r="K151" s="29">
        <f>IF(B151="","",IF(B151="Deposit",J151,IF(B151="Withdrawal",-J151,IF(B151="Buy",-(I151+H151),IF(B151="Sell",I151-H151,IF(B151="Dividend",J151,IF(B151="Fee",-J151,0)))))))</f>
        <v/>
      </c>
      <c r="L151" s="27" t="n"/>
    </row>
    <row r="152">
      <c r="A152" s="43" t="n"/>
      <c r="B152" s="27" t="n"/>
      <c r="C152" s="27" t="n"/>
      <c r="D152" s="44" t="n"/>
      <c r="E152" s="30" t="n"/>
      <c r="F152" s="27" t="n"/>
      <c r="G152" s="31" t="n"/>
      <c r="H152" s="45" t="n"/>
      <c r="I152" s="29">
        <f>IF(OR(B152="Buy",B152="Sell"),D152*E152*IF(EXACT(F152,"GBp"),0.01,1)/IF(G152="",1,G152),"")</f>
        <v/>
      </c>
      <c r="J152" s="45" t="n"/>
      <c r="K152" s="29">
        <f>IF(B152="","",IF(B152="Deposit",J152,IF(B152="Withdrawal",-J152,IF(B152="Buy",-(I152+H152),IF(B152="Sell",I152-H152,IF(B152="Dividend",J152,IF(B152="Fee",-J152,0)))))))</f>
        <v/>
      </c>
      <c r="L152" s="27" t="n"/>
    </row>
    <row r="153">
      <c r="A153" s="43" t="n"/>
      <c r="B153" s="27" t="n"/>
      <c r="C153" s="27" t="n"/>
      <c r="D153" s="44" t="n"/>
      <c r="E153" s="30" t="n"/>
      <c r="F153" s="27" t="n"/>
      <c r="G153" s="31" t="n"/>
      <c r="H153" s="45" t="n"/>
      <c r="I153" s="29">
        <f>IF(OR(B153="Buy",B153="Sell"),D153*E153*IF(EXACT(F153,"GBp"),0.01,1)/IF(G153="",1,G153),"")</f>
        <v/>
      </c>
      <c r="J153" s="45" t="n"/>
      <c r="K153" s="29">
        <f>IF(B153="","",IF(B153="Deposit",J153,IF(B153="Withdrawal",-J153,IF(B153="Buy",-(I153+H153),IF(B153="Sell",I153-H153,IF(B153="Dividend",J153,IF(B153="Fee",-J153,0)))))))</f>
        <v/>
      </c>
      <c r="L153" s="27" t="n"/>
    </row>
    <row r="154">
      <c r="A154" s="43" t="n"/>
      <c r="B154" s="27" t="n"/>
      <c r="C154" s="27" t="n"/>
      <c r="D154" s="44" t="n"/>
      <c r="E154" s="30" t="n"/>
      <c r="F154" s="27" t="n"/>
      <c r="G154" s="31" t="n"/>
      <c r="H154" s="45" t="n"/>
      <c r="I154" s="29">
        <f>IF(OR(B154="Buy",B154="Sell"),D154*E154*IF(EXACT(F154,"GBp"),0.01,1)/IF(G154="",1,G154),"")</f>
        <v/>
      </c>
      <c r="J154" s="45" t="n"/>
      <c r="K154" s="29">
        <f>IF(B154="","",IF(B154="Deposit",J154,IF(B154="Withdrawal",-J154,IF(B154="Buy",-(I154+H154),IF(B154="Sell",I154-H154,IF(B154="Dividend",J154,IF(B154="Fee",-J154,0)))))))</f>
        <v/>
      </c>
      <c r="L154" s="27" t="n"/>
    </row>
    <row r="155">
      <c r="A155" s="43" t="n"/>
      <c r="B155" s="27" t="n"/>
      <c r="C155" s="27" t="n"/>
      <c r="D155" s="44" t="n"/>
      <c r="E155" s="30" t="n"/>
      <c r="F155" s="27" t="n"/>
      <c r="G155" s="31" t="n"/>
      <c r="H155" s="45" t="n"/>
      <c r="I155" s="29">
        <f>IF(OR(B155="Buy",B155="Sell"),D155*E155*IF(EXACT(F155,"GBp"),0.01,1)/IF(G155="",1,G155),"")</f>
        <v/>
      </c>
      <c r="J155" s="45" t="n"/>
      <c r="K155" s="29">
        <f>IF(B155="","",IF(B155="Deposit",J155,IF(B155="Withdrawal",-J155,IF(B155="Buy",-(I155+H155),IF(B155="Sell",I155-H155,IF(B155="Dividend",J155,IF(B155="Fee",-J155,0)))))))</f>
        <v/>
      </c>
      <c r="L155" s="27" t="n"/>
    </row>
    <row r="156">
      <c r="A156" s="43" t="n"/>
      <c r="B156" s="27" t="n"/>
      <c r="C156" s="27" t="n"/>
      <c r="D156" s="44" t="n"/>
      <c r="E156" s="30" t="n"/>
      <c r="F156" s="27" t="n"/>
      <c r="G156" s="31" t="n"/>
      <c r="H156" s="45" t="n"/>
      <c r="I156" s="29">
        <f>IF(OR(B156="Buy",B156="Sell"),D156*E156*IF(EXACT(F156,"GBp"),0.01,1)/IF(G156="",1,G156),"")</f>
        <v/>
      </c>
      <c r="J156" s="45" t="n"/>
      <c r="K156" s="29">
        <f>IF(B156="","",IF(B156="Deposit",J156,IF(B156="Withdrawal",-J156,IF(B156="Buy",-(I156+H156),IF(B156="Sell",I156-H156,IF(B156="Dividend",J156,IF(B156="Fee",-J156,0)))))))</f>
        <v/>
      </c>
      <c r="L156" s="27" t="n"/>
    </row>
    <row r="157">
      <c r="A157" s="43" t="n"/>
      <c r="B157" s="27" t="n"/>
      <c r="C157" s="27" t="n"/>
      <c r="D157" s="44" t="n"/>
      <c r="E157" s="30" t="n"/>
      <c r="F157" s="27" t="n"/>
      <c r="G157" s="31" t="n"/>
      <c r="H157" s="45" t="n"/>
      <c r="I157" s="29">
        <f>IF(OR(B157="Buy",B157="Sell"),D157*E157*IF(EXACT(F157,"GBp"),0.01,1)/IF(G157="",1,G157),"")</f>
        <v/>
      </c>
      <c r="J157" s="45" t="n"/>
      <c r="K157" s="29">
        <f>IF(B157="","",IF(B157="Deposit",J157,IF(B157="Withdrawal",-J157,IF(B157="Buy",-(I157+H157),IF(B157="Sell",I157-H157,IF(B157="Dividend",J157,IF(B157="Fee",-J157,0)))))))</f>
        <v/>
      </c>
      <c r="L157" s="27" t="n"/>
    </row>
    <row r="158">
      <c r="A158" s="43" t="n"/>
      <c r="B158" s="27" t="n"/>
      <c r="C158" s="27" t="n"/>
      <c r="D158" s="44" t="n"/>
      <c r="E158" s="30" t="n"/>
      <c r="F158" s="27" t="n"/>
      <c r="G158" s="31" t="n"/>
      <c r="H158" s="45" t="n"/>
      <c r="I158" s="29">
        <f>IF(OR(B158="Buy",B158="Sell"),D158*E158*IF(EXACT(F158,"GBp"),0.01,1)/IF(G158="",1,G158),"")</f>
        <v/>
      </c>
      <c r="J158" s="45" t="n"/>
      <c r="K158" s="29">
        <f>IF(B158="","",IF(B158="Deposit",J158,IF(B158="Withdrawal",-J158,IF(B158="Buy",-(I158+H158),IF(B158="Sell",I158-H158,IF(B158="Dividend",J158,IF(B158="Fee",-J158,0)))))))</f>
        <v/>
      </c>
      <c r="L158" s="27" t="n"/>
    </row>
    <row r="159">
      <c r="A159" s="43" t="n"/>
      <c r="B159" s="27" t="n"/>
      <c r="C159" s="27" t="n"/>
      <c r="D159" s="44" t="n"/>
      <c r="E159" s="30" t="n"/>
      <c r="F159" s="27" t="n"/>
      <c r="G159" s="31" t="n"/>
      <c r="H159" s="45" t="n"/>
      <c r="I159" s="29">
        <f>IF(OR(B159="Buy",B159="Sell"),D159*E159*IF(EXACT(F159,"GBp"),0.01,1)/IF(G159="",1,G159),"")</f>
        <v/>
      </c>
      <c r="J159" s="45" t="n"/>
      <c r="K159" s="29">
        <f>IF(B159="","",IF(B159="Deposit",J159,IF(B159="Withdrawal",-J159,IF(B159="Buy",-(I159+H159),IF(B159="Sell",I159-H159,IF(B159="Dividend",J159,IF(B159="Fee",-J159,0)))))))</f>
        <v/>
      </c>
      <c r="L159" s="27" t="n"/>
    </row>
    <row r="160">
      <c r="A160" s="43" t="n"/>
      <c r="B160" s="27" t="n"/>
      <c r="C160" s="27" t="n"/>
      <c r="D160" s="44" t="n"/>
      <c r="E160" s="30" t="n"/>
      <c r="F160" s="27" t="n"/>
      <c r="G160" s="31" t="n"/>
      <c r="H160" s="45" t="n"/>
      <c r="I160" s="29">
        <f>IF(OR(B160="Buy",B160="Sell"),D160*E160*IF(EXACT(F160,"GBp"),0.01,1)/IF(G160="",1,G160),"")</f>
        <v/>
      </c>
      <c r="J160" s="45" t="n"/>
      <c r="K160" s="29">
        <f>IF(B160="","",IF(B160="Deposit",J160,IF(B160="Withdrawal",-J160,IF(B160="Buy",-(I160+H160),IF(B160="Sell",I160-H160,IF(B160="Dividend",J160,IF(B160="Fee",-J160,0)))))))</f>
        <v/>
      </c>
      <c r="L160" s="27" t="n"/>
    </row>
    <row r="161">
      <c r="A161" s="43" t="n"/>
      <c r="B161" s="27" t="n"/>
      <c r="C161" s="27" t="n"/>
      <c r="D161" s="44" t="n"/>
      <c r="E161" s="30" t="n"/>
      <c r="F161" s="27" t="n"/>
      <c r="G161" s="31" t="n"/>
      <c r="H161" s="45" t="n"/>
      <c r="I161" s="29">
        <f>IF(OR(B161="Buy",B161="Sell"),D161*E161*IF(EXACT(F161,"GBp"),0.01,1)/IF(G161="",1,G161),"")</f>
        <v/>
      </c>
      <c r="J161" s="45" t="n"/>
      <c r="K161" s="29">
        <f>IF(B161="","",IF(B161="Deposit",J161,IF(B161="Withdrawal",-J161,IF(B161="Buy",-(I161+H161),IF(B161="Sell",I161-H161,IF(B161="Dividend",J161,IF(B161="Fee",-J161,0)))))))</f>
        <v/>
      </c>
      <c r="L161" s="27" t="n"/>
    </row>
    <row r="162">
      <c r="A162" s="43" t="n"/>
      <c r="B162" s="27" t="n"/>
      <c r="C162" s="27" t="n"/>
      <c r="D162" s="44" t="n"/>
      <c r="E162" s="30" t="n"/>
      <c r="F162" s="27" t="n"/>
      <c r="G162" s="31" t="n"/>
      <c r="H162" s="45" t="n"/>
      <c r="I162" s="29">
        <f>IF(OR(B162="Buy",B162="Sell"),D162*E162*IF(EXACT(F162,"GBp"),0.01,1)/IF(G162="",1,G162),"")</f>
        <v/>
      </c>
      <c r="J162" s="45" t="n"/>
      <c r="K162" s="29">
        <f>IF(B162="","",IF(B162="Deposit",J162,IF(B162="Withdrawal",-J162,IF(B162="Buy",-(I162+H162),IF(B162="Sell",I162-H162,IF(B162="Dividend",J162,IF(B162="Fee",-J162,0)))))))</f>
        <v/>
      </c>
      <c r="L162" s="27" t="n"/>
    </row>
    <row r="163">
      <c r="A163" s="43" t="n"/>
      <c r="B163" s="27" t="n"/>
      <c r="C163" s="27" t="n"/>
      <c r="D163" s="44" t="n"/>
      <c r="E163" s="30" t="n"/>
      <c r="F163" s="27" t="n"/>
      <c r="G163" s="31" t="n"/>
      <c r="H163" s="45" t="n"/>
      <c r="I163" s="29">
        <f>IF(OR(B163="Buy",B163="Sell"),D163*E163*IF(EXACT(F163,"GBp"),0.01,1)/IF(G163="",1,G163),"")</f>
        <v/>
      </c>
      <c r="J163" s="45" t="n"/>
      <c r="K163" s="29">
        <f>IF(B163="","",IF(B163="Deposit",J163,IF(B163="Withdrawal",-J163,IF(B163="Buy",-(I163+H163),IF(B163="Sell",I163-H163,IF(B163="Dividend",J163,IF(B163="Fee",-J163,0)))))))</f>
        <v/>
      </c>
      <c r="L163" s="27" t="n"/>
    </row>
    <row r="164">
      <c r="A164" s="43" t="n"/>
      <c r="B164" s="27" t="n"/>
      <c r="C164" s="27" t="n"/>
      <c r="D164" s="44" t="n"/>
      <c r="E164" s="30" t="n"/>
      <c r="F164" s="27" t="n"/>
      <c r="G164" s="31" t="n"/>
      <c r="H164" s="45" t="n"/>
      <c r="I164" s="29">
        <f>IF(OR(B164="Buy",B164="Sell"),D164*E164*IF(EXACT(F164,"GBp"),0.01,1)/IF(G164="",1,G164),"")</f>
        <v/>
      </c>
      <c r="J164" s="45" t="n"/>
      <c r="K164" s="29">
        <f>IF(B164="","",IF(B164="Deposit",J164,IF(B164="Withdrawal",-J164,IF(B164="Buy",-(I164+H164),IF(B164="Sell",I164-H164,IF(B164="Dividend",J164,IF(B164="Fee",-J164,0)))))))</f>
        <v/>
      </c>
      <c r="L164" s="27" t="n"/>
    </row>
    <row r="165">
      <c r="A165" s="43" t="n"/>
      <c r="B165" s="27" t="n"/>
      <c r="C165" s="27" t="n"/>
      <c r="D165" s="44" t="n"/>
      <c r="E165" s="30" t="n"/>
      <c r="F165" s="27" t="n"/>
      <c r="G165" s="31" t="n"/>
      <c r="H165" s="45" t="n"/>
      <c r="I165" s="29">
        <f>IF(OR(B165="Buy",B165="Sell"),D165*E165*IF(EXACT(F165,"GBp"),0.01,1)/IF(G165="",1,G165),"")</f>
        <v/>
      </c>
      <c r="J165" s="45" t="n"/>
      <c r="K165" s="29">
        <f>IF(B165="","",IF(B165="Deposit",J165,IF(B165="Withdrawal",-J165,IF(B165="Buy",-(I165+H165),IF(B165="Sell",I165-H165,IF(B165="Dividend",J165,IF(B165="Fee",-J165,0)))))))</f>
        <v/>
      </c>
      <c r="L165" s="27" t="n"/>
    </row>
    <row r="166">
      <c r="A166" s="43" t="n"/>
      <c r="B166" s="27" t="n"/>
      <c r="C166" s="27" t="n"/>
      <c r="D166" s="44" t="n"/>
      <c r="E166" s="30" t="n"/>
      <c r="F166" s="27" t="n"/>
      <c r="G166" s="31" t="n"/>
      <c r="H166" s="45" t="n"/>
      <c r="I166" s="29">
        <f>IF(OR(B166="Buy",B166="Sell"),D166*E166*IF(EXACT(F166,"GBp"),0.01,1)/IF(G166="",1,G166),"")</f>
        <v/>
      </c>
      <c r="J166" s="45" t="n"/>
      <c r="K166" s="29">
        <f>IF(B166="","",IF(B166="Deposit",J166,IF(B166="Withdrawal",-J166,IF(B166="Buy",-(I166+H166),IF(B166="Sell",I166-H166,IF(B166="Dividend",J166,IF(B166="Fee",-J166,0)))))))</f>
        <v/>
      </c>
      <c r="L166" s="27" t="n"/>
    </row>
    <row r="167">
      <c r="A167" s="43" t="n"/>
      <c r="B167" s="27" t="n"/>
      <c r="C167" s="27" t="n"/>
      <c r="D167" s="44" t="n"/>
      <c r="E167" s="30" t="n"/>
      <c r="F167" s="27" t="n"/>
      <c r="G167" s="31" t="n"/>
      <c r="H167" s="45" t="n"/>
      <c r="I167" s="29">
        <f>IF(OR(B167="Buy",B167="Sell"),D167*E167*IF(EXACT(F167,"GBp"),0.01,1)/IF(G167="",1,G167),"")</f>
        <v/>
      </c>
      <c r="J167" s="45" t="n"/>
      <c r="K167" s="29">
        <f>IF(B167="","",IF(B167="Deposit",J167,IF(B167="Withdrawal",-J167,IF(B167="Buy",-(I167+H167),IF(B167="Sell",I167-H167,IF(B167="Dividend",J167,IF(B167="Fee",-J167,0)))))))</f>
        <v/>
      </c>
      <c r="L167" s="27" t="n"/>
    </row>
    <row r="168">
      <c r="A168" s="43" t="n"/>
      <c r="B168" s="27" t="n"/>
      <c r="C168" s="27" t="n"/>
      <c r="D168" s="44" t="n"/>
      <c r="E168" s="30" t="n"/>
      <c r="F168" s="27" t="n"/>
      <c r="G168" s="31" t="n"/>
      <c r="H168" s="45" t="n"/>
      <c r="I168" s="29">
        <f>IF(OR(B168="Buy",B168="Sell"),D168*E168*IF(EXACT(F168,"GBp"),0.01,1)/IF(G168="",1,G168),"")</f>
        <v/>
      </c>
      <c r="J168" s="45" t="n"/>
      <c r="K168" s="29">
        <f>IF(B168="","",IF(B168="Deposit",J168,IF(B168="Withdrawal",-J168,IF(B168="Buy",-(I168+H168),IF(B168="Sell",I168-H168,IF(B168="Dividend",J168,IF(B168="Fee",-J168,0)))))))</f>
        <v/>
      </c>
      <c r="L168" s="27" t="n"/>
    </row>
    <row r="169">
      <c r="A169" s="43" t="n"/>
      <c r="B169" s="27" t="n"/>
      <c r="C169" s="27" t="n"/>
      <c r="D169" s="44" t="n"/>
      <c r="E169" s="30" t="n"/>
      <c r="F169" s="27" t="n"/>
      <c r="G169" s="31" t="n"/>
      <c r="H169" s="45" t="n"/>
      <c r="I169" s="29">
        <f>IF(OR(B169="Buy",B169="Sell"),D169*E169*IF(EXACT(F169,"GBp"),0.01,1)/IF(G169="",1,G169),"")</f>
        <v/>
      </c>
      <c r="J169" s="45" t="n"/>
      <c r="K169" s="29">
        <f>IF(B169="","",IF(B169="Deposit",J169,IF(B169="Withdrawal",-J169,IF(B169="Buy",-(I169+H169),IF(B169="Sell",I169-H169,IF(B169="Dividend",J169,IF(B169="Fee",-J169,0)))))))</f>
        <v/>
      </c>
      <c r="L169" s="27" t="n"/>
    </row>
    <row r="170">
      <c r="A170" s="43" t="n"/>
      <c r="B170" s="27" t="n"/>
      <c r="C170" s="27" t="n"/>
      <c r="D170" s="44" t="n"/>
      <c r="E170" s="30" t="n"/>
      <c r="F170" s="27" t="n"/>
      <c r="G170" s="31" t="n"/>
      <c r="H170" s="45" t="n"/>
      <c r="I170" s="29">
        <f>IF(OR(B170="Buy",B170="Sell"),D170*E170*IF(EXACT(F170,"GBp"),0.01,1)/IF(G170="",1,G170),"")</f>
        <v/>
      </c>
      <c r="J170" s="45" t="n"/>
      <c r="K170" s="29">
        <f>IF(B170="","",IF(B170="Deposit",J170,IF(B170="Withdrawal",-J170,IF(B170="Buy",-(I170+H170),IF(B170="Sell",I170-H170,IF(B170="Dividend",J170,IF(B170="Fee",-J170,0)))))))</f>
        <v/>
      </c>
      <c r="L170" s="27" t="n"/>
    </row>
    <row r="171">
      <c r="A171" s="43" t="n"/>
      <c r="B171" s="27" t="n"/>
      <c r="C171" s="27" t="n"/>
      <c r="D171" s="44" t="n"/>
      <c r="E171" s="30" t="n"/>
      <c r="F171" s="27" t="n"/>
      <c r="G171" s="31" t="n"/>
      <c r="H171" s="45" t="n"/>
      <c r="I171" s="29">
        <f>IF(OR(B171="Buy",B171="Sell"),D171*E171*IF(EXACT(F171,"GBp"),0.01,1)/IF(G171="",1,G171),"")</f>
        <v/>
      </c>
      <c r="J171" s="45" t="n"/>
      <c r="K171" s="29">
        <f>IF(B171="","",IF(B171="Deposit",J171,IF(B171="Withdrawal",-J171,IF(B171="Buy",-(I171+H171),IF(B171="Sell",I171-H171,IF(B171="Dividend",J171,IF(B171="Fee",-J171,0)))))))</f>
        <v/>
      </c>
      <c r="L171" s="27" t="n"/>
    </row>
    <row r="172">
      <c r="A172" s="43" t="n"/>
      <c r="B172" s="27" t="n"/>
      <c r="C172" s="27" t="n"/>
      <c r="D172" s="44" t="n"/>
      <c r="E172" s="30" t="n"/>
      <c r="F172" s="27" t="n"/>
      <c r="G172" s="31" t="n"/>
      <c r="H172" s="45" t="n"/>
      <c r="I172" s="29">
        <f>IF(OR(B172="Buy",B172="Sell"),D172*E172*IF(EXACT(F172,"GBp"),0.01,1)/IF(G172="",1,G172),"")</f>
        <v/>
      </c>
      <c r="J172" s="45" t="n"/>
      <c r="K172" s="29">
        <f>IF(B172="","",IF(B172="Deposit",J172,IF(B172="Withdrawal",-J172,IF(B172="Buy",-(I172+H172),IF(B172="Sell",I172-H172,IF(B172="Dividend",J172,IF(B172="Fee",-J172,0)))))))</f>
        <v/>
      </c>
      <c r="L172" s="27" t="n"/>
    </row>
    <row r="173">
      <c r="A173" s="43" t="n"/>
      <c r="B173" s="27" t="n"/>
      <c r="C173" s="27" t="n"/>
      <c r="D173" s="44" t="n"/>
      <c r="E173" s="30" t="n"/>
      <c r="F173" s="27" t="n"/>
      <c r="G173" s="31" t="n"/>
      <c r="H173" s="45" t="n"/>
      <c r="I173" s="29">
        <f>IF(OR(B173="Buy",B173="Sell"),D173*E173*IF(EXACT(F173,"GBp"),0.01,1)/IF(G173="",1,G173),"")</f>
        <v/>
      </c>
      <c r="J173" s="45" t="n"/>
      <c r="K173" s="29">
        <f>IF(B173="","",IF(B173="Deposit",J173,IF(B173="Withdrawal",-J173,IF(B173="Buy",-(I173+H173),IF(B173="Sell",I173-H173,IF(B173="Dividend",J173,IF(B173="Fee",-J173,0)))))))</f>
        <v/>
      </c>
      <c r="L173" s="27" t="n"/>
    </row>
    <row r="174">
      <c r="A174" s="43" t="n"/>
      <c r="B174" s="27" t="n"/>
      <c r="C174" s="27" t="n"/>
      <c r="D174" s="44" t="n"/>
      <c r="E174" s="30" t="n"/>
      <c r="F174" s="27" t="n"/>
      <c r="G174" s="31" t="n"/>
      <c r="H174" s="45" t="n"/>
      <c r="I174" s="29">
        <f>IF(OR(B174="Buy",B174="Sell"),D174*E174*IF(EXACT(F174,"GBp"),0.01,1)/IF(G174="",1,G174),"")</f>
        <v/>
      </c>
      <c r="J174" s="45" t="n"/>
      <c r="K174" s="29">
        <f>IF(B174="","",IF(B174="Deposit",J174,IF(B174="Withdrawal",-J174,IF(B174="Buy",-(I174+H174),IF(B174="Sell",I174-H174,IF(B174="Dividend",J174,IF(B174="Fee",-J174,0)))))))</f>
        <v/>
      </c>
      <c r="L174" s="27" t="n"/>
    </row>
    <row r="175">
      <c r="A175" s="43" t="n"/>
      <c r="B175" s="27" t="n"/>
      <c r="C175" s="27" t="n"/>
      <c r="D175" s="44" t="n"/>
      <c r="E175" s="30" t="n"/>
      <c r="F175" s="27" t="n"/>
      <c r="G175" s="31" t="n"/>
      <c r="H175" s="45" t="n"/>
      <c r="I175" s="29">
        <f>IF(OR(B175="Buy",B175="Sell"),D175*E175*IF(EXACT(F175,"GBp"),0.01,1)/IF(G175="",1,G175),"")</f>
        <v/>
      </c>
      <c r="J175" s="45" t="n"/>
      <c r="K175" s="29">
        <f>IF(B175="","",IF(B175="Deposit",J175,IF(B175="Withdrawal",-J175,IF(B175="Buy",-(I175+H175),IF(B175="Sell",I175-H175,IF(B175="Dividend",J175,IF(B175="Fee",-J175,0)))))))</f>
        <v/>
      </c>
      <c r="L175" s="27" t="n"/>
    </row>
    <row r="176">
      <c r="A176" s="43" t="n"/>
      <c r="B176" s="27" t="n"/>
      <c r="C176" s="27" t="n"/>
      <c r="D176" s="44" t="n"/>
      <c r="E176" s="30" t="n"/>
      <c r="F176" s="27" t="n"/>
      <c r="G176" s="31" t="n"/>
      <c r="H176" s="45" t="n"/>
      <c r="I176" s="29">
        <f>IF(OR(B176="Buy",B176="Sell"),D176*E176*IF(EXACT(F176,"GBp"),0.01,1)/IF(G176="",1,G176),"")</f>
        <v/>
      </c>
      <c r="J176" s="45" t="n"/>
      <c r="K176" s="29">
        <f>IF(B176="","",IF(B176="Deposit",J176,IF(B176="Withdrawal",-J176,IF(B176="Buy",-(I176+H176),IF(B176="Sell",I176-H176,IF(B176="Dividend",J176,IF(B176="Fee",-J176,0)))))))</f>
        <v/>
      </c>
      <c r="L176" s="27" t="n"/>
    </row>
    <row r="177">
      <c r="A177" s="43" t="n"/>
      <c r="B177" s="27" t="n"/>
      <c r="C177" s="27" t="n"/>
      <c r="D177" s="44" t="n"/>
      <c r="E177" s="30" t="n"/>
      <c r="F177" s="27" t="n"/>
      <c r="G177" s="31" t="n"/>
      <c r="H177" s="45" t="n"/>
      <c r="I177" s="29">
        <f>IF(OR(B177="Buy",B177="Sell"),D177*E177*IF(EXACT(F177,"GBp"),0.01,1)/IF(G177="",1,G177),"")</f>
        <v/>
      </c>
      <c r="J177" s="45" t="n"/>
      <c r="K177" s="29">
        <f>IF(B177="","",IF(B177="Deposit",J177,IF(B177="Withdrawal",-J177,IF(B177="Buy",-(I177+H177),IF(B177="Sell",I177-H177,IF(B177="Dividend",J177,IF(B177="Fee",-J177,0)))))))</f>
        <v/>
      </c>
      <c r="L177" s="27" t="n"/>
    </row>
    <row r="178">
      <c r="A178" s="43" t="n"/>
      <c r="B178" s="27" t="n"/>
      <c r="C178" s="27" t="n"/>
      <c r="D178" s="44" t="n"/>
      <c r="E178" s="30" t="n"/>
      <c r="F178" s="27" t="n"/>
      <c r="G178" s="31" t="n"/>
      <c r="H178" s="45" t="n"/>
      <c r="I178" s="29">
        <f>IF(OR(B178="Buy",B178="Sell"),D178*E178*IF(EXACT(F178,"GBp"),0.01,1)/IF(G178="",1,G178),"")</f>
        <v/>
      </c>
      <c r="J178" s="45" t="n"/>
      <c r="K178" s="29">
        <f>IF(B178="","",IF(B178="Deposit",J178,IF(B178="Withdrawal",-J178,IF(B178="Buy",-(I178+H178),IF(B178="Sell",I178-H178,IF(B178="Dividend",J178,IF(B178="Fee",-J178,0)))))))</f>
        <v/>
      </c>
      <c r="L178" s="27" t="n"/>
    </row>
    <row r="179">
      <c r="A179" s="43" t="n"/>
      <c r="B179" s="27" t="n"/>
      <c r="C179" s="27" t="n"/>
      <c r="D179" s="44" t="n"/>
      <c r="E179" s="30" t="n"/>
      <c r="F179" s="27" t="n"/>
      <c r="G179" s="31" t="n"/>
      <c r="H179" s="45" t="n"/>
      <c r="I179" s="29">
        <f>IF(OR(B179="Buy",B179="Sell"),D179*E179*IF(EXACT(F179,"GBp"),0.01,1)/IF(G179="",1,G179),"")</f>
        <v/>
      </c>
      <c r="J179" s="45" t="n"/>
      <c r="K179" s="29">
        <f>IF(B179="","",IF(B179="Deposit",J179,IF(B179="Withdrawal",-J179,IF(B179="Buy",-(I179+H179),IF(B179="Sell",I179-H179,IF(B179="Dividend",J179,IF(B179="Fee",-J179,0)))))))</f>
        <v/>
      </c>
      <c r="L179" s="27" t="n"/>
    </row>
    <row r="180">
      <c r="A180" s="43" t="n"/>
      <c r="B180" s="27" t="n"/>
      <c r="C180" s="27" t="n"/>
      <c r="D180" s="44" t="n"/>
      <c r="E180" s="30" t="n"/>
      <c r="F180" s="27" t="n"/>
      <c r="G180" s="31" t="n"/>
      <c r="H180" s="45" t="n"/>
      <c r="I180" s="29">
        <f>IF(OR(B180="Buy",B180="Sell"),D180*E180*IF(EXACT(F180,"GBp"),0.01,1)/IF(G180="",1,G180),"")</f>
        <v/>
      </c>
      <c r="J180" s="45" t="n"/>
      <c r="K180" s="29">
        <f>IF(B180="","",IF(B180="Deposit",J180,IF(B180="Withdrawal",-J180,IF(B180="Buy",-(I180+H180),IF(B180="Sell",I180-H180,IF(B180="Dividend",J180,IF(B180="Fee",-J180,0)))))))</f>
        <v/>
      </c>
      <c r="L180" s="27" t="n"/>
    </row>
    <row r="181">
      <c r="A181" s="43" t="n"/>
      <c r="B181" s="27" t="n"/>
      <c r="C181" s="27" t="n"/>
      <c r="D181" s="44" t="n"/>
      <c r="E181" s="30" t="n"/>
      <c r="F181" s="27" t="n"/>
      <c r="G181" s="31" t="n"/>
      <c r="H181" s="45" t="n"/>
      <c r="I181" s="29">
        <f>IF(OR(B181="Buy",B181="Sell"),D181*E181*IF(EXACT(F181,"GBp"),0.01,1)/IF(G181="",1,G181),"")</f>
        <v/>
      </c>
      <c r="J181" s="45" t="n"/>
      <c r="K181" s="29">
        <f>IF(B181="","",IF(B181="Deposit",J181,IF(B181="Withdrawal",-J181,IF(B181="Buy",-(I181+H181),IF(B181="Sell",I181-H181,IF(B181="Dividend",J181,IF(B181="Fee",-J181,0)))))))</f>
        <v/>
      </c>
      <c r="L181" s="27" t="n"/>
    </row>
    <row r="182">
      <c r="A182" s="43" t="n"/>
      <c r="B182" s="27" t="n"/>
      <c r="C182" s="27" t="n"/>
      <c r="D182" s="44" t="n"/>
      <c r="E182" s="30" t="n"/>
      <c r="F182" s="27" t="n"/>
      <c r="G182" s="31" t="n"/>
      <c r="H182" s="45" t="n"/>
      <c r="I182" s="29">
        <f>IF(OR(B182="Buy",B182="Sell"),D182*E182*IF(EXACT(F182,"GBp"),0.01,1)/IF(G182="",1,G182),"")</f>
        <v/>
      </c>
      <c r="J182" s="45" t="n"/>
      <c r="K182" s="29">
        <f>IF(B182="","",IF(B182="Deposit",J182,IF(B182="Withdrawal",-J182,IF(B182="Buy",-(I182+H182),IF(B182="Sell",I182-H182,IF(B182="Dividend",J182,IF(B182="Fee",-J182,0)))))))</f>
        <v/>
      </c>
      <c r="L182" s="27" t="n"/>
    </row>
    <row r="183">
      <c r="A183" s="43" t="n"/>
      <c r="B183" s="27" t="n"/>
      <c r="C183" s="27" t="n"/>
      <c r="D183" s="44" t="n"/>
      <c r="E183" s="30" t="n"/>
      <c r="F183" s="27" t="n"/>
      <c r="G183" s="31" t="n"/>
      <c r="H183" s="45" t="n"/>
      <c r="I183" s="29">
        <f>IF(OR(B183="Buy",B183="Sell"),D183*E183*IF(EXACT(F183,"GBp"),0.01,1)/IF(G183="",1,G183),"")</f>
        <v/>
      </c>
      <c r="J183" s="45" t="n"/>
      <c r="K183" s="29">
        <f>IF(B183="","",IF(B183="Deposit",J183,IF(B183="Withdrawal",-J183,IF(B183="Buy",-(I183+H183),IF(B183="Sell",I183-H183,IF(B183="Dividend",J183,IF(B183="Fee",-J183,0)))))))</f>
        <v/>
      </c>
      <c r="L183" s="27" t="n"/>
    </row>
    <row r="184">
      <c r="A184" s="43" t="n"/>
      <c r="B184" s="27" t="n"/>
      <c r="C184" s="27" t="n"/>
      <c r="D184" s="44" t="n"/>
      <c r="E184" s="30" t="n"/>
      <c r="F184" s="27" t="n"/>
      <c r="G184" s="31" t="n"/>
      <c r="H184" s="45" t="n"/>
      <c r="I184" s="29">
        <f>IF(OR(B184="Buy",B184="Sell"),D184*E184*IF(EXACT(F184,"GBp"),0.01,1)/IF(G184="",1,G184),"")</f>
        <v/>
      </c>
      <c r="J184" s="45" t="n"/>
      <c r="K184" s="29">
        <f>IF(B184="","",IF(B184="Deposit",J184,IF(B184="Withdrawal",-J184,IF(B184="Buy",-(I184+H184),IF(B184="Sell",I184-H184,IF(B184="Dividend",J184,IF(B184="Fee",-J184,0)))))))</f>
        <v/>
      </c>
      <c r="L184" s="27" t="n"/>
    </row>
    <row r="185">
      <c r="A185" s="43" t="n"/>
      <c r="B185" s="27" t="n"/>
      <c r="C185" s="27" t="n"/>
      <c r="D185" s="44" t="n"/>
      <c r="E185" s="30" t="n"/>
      <c r="F185" s="27" t="n"/>
      <c r="G185" s="31" t="n"/>
      <c r="H185" s="45" t="n"/>
      <c r="I185" s="29">
        <f>IF(OR(B185="Buy",B185="Sell"),D185*E185*IF(EXACT(F185,"GBp"),0.01,1)/IF(G185="",1,G185),"")</f>
        <v/>
      </c>
      <c r="J185" s="45" t="n"/>
      <c r="K185" s="29">
        <f>IF(B185="","",IF(B185="Deposit",J185,IF(B185="Withdrawal",-J185,IF(B185="Buy",-(I185+H185),IF(B185="Sell",I185-H185,IF(B185="Dividend",J185,IF(B185="Fee",-J185,0)))))))</f>
        <v/>
      </c>
      <c r="L185" s="27" t="n"/>
    </row>
    <row r="186">
      <c r="A186" s="43" t="n"/>
      <c r="B186" s="27" t="n"/>
      <c r="C186" s="27" t="n"/>
      <c r="D186" s="44" t="n"/>
      <c r="E186" s="30" t="n"/>
      <c r="F186" s="27" t="n"/>
      <c r="G186" s="31" t="n"/>
      <c r="H186" s="45" t="n"/>
      <c r="I186" s="29">
        <f>IF(OR(B186="Buy",B186="Sell"),D186*E186*IF(EXACT(F186,"GBp"),0.01,1)/IF(G186="",1,G186),"")</f>
        <v/>
      </c>
      <c r="J186" s="45" t="n"/>
      <c r="K186" s="29">
        <f>IF(B186="","",IF(B186="Deposit",J186,IF(B186="Withdrawal",-J186,IF(B186="Buy",-(I186+H186),IF(B186="Sell",I186-H186,IF(B186="Dividend",J186,IF(B186="Fee",-J186,0)))))))</f>
        <v/>
      </c>
      <c r="L186" s="27" t="n"/>
    </row>
    <row r="187">
      <c r="A187" s="43" t="n"/>
      <c r="B187" s="27" t="n"/>
      <c r="C187" s="27" t="n"/>
      <c r="D187" s="44" t="n"/>
      <c r="E187" s="30" t="n"/>
      <c r="F187" s="27" t="n"/>
      <c r="G187" s="31" t="n"/>
      <c r="H187" s="45" t="n"/>
      <c r="I187" s="29">
        <f>IF(OR(B187="Buy",B187="Sell"),D187*E187*IF(EXACT(F187,"GBp"),0.01,1)/IF(G187="",1,G187),"")</f>
        <v/>
      </c>
      <c r="J187" s="45" t="n"/>
      <c r="K187" s="29">
        <f>IF(B187="","",IF(B187="Deposit",J187,IF(B187="Withdrawal",-J187,IF(B187="Buy",-(I187+H187),IF(B187="Sell",I187-H187,IF(B187="Dividend",J187,IF(B187="Fee",-J187,0)))))))</f>
        <v/>
      </c>
      <c r="L187" s="27" t="n"/>
    </row>
    <row r="188">
      <c r="A188" s="43" t="n"/>
      <c r="B188" s="27" t="n"/>
      <c r="C188" s="27" t="n"/>
      <c r="D188" s="44" t="n"/>
      <c r="E188" s="30" t="n"/>
      <c r="F188" s="27" t="n"/>
      <c r="G188" s="31" t="n"/>
      <c r="H188" s="45" t="n"/>
      <c r="I188" s="29">
        <f>IF(OR(B188="Buy",B188="Sell"),D188*E188*IF(EXACT(F188,"GBp"),0.01,1)/IF(G188="",1,G188),"")</f>
        <v/>
      </c>
      <c r="J188" s="45" t="n"/>
      <c r="K188" s="29">
        <f>IF(B188="","",IF(B188="Deposit",J188,IF(B188="Withdrawal",-J188,IF(B188="Buy",-(I188+H188),IF(B188="Sell",I188-H188,IF(B188="Dividend",J188,IF(B188="Fee",-J188,0)))))))</f>
        <v/>
      </c>
      <c r="L188" s="27" t="n"/>
    </row>
    <row r="189">
      <c r="A189" s="43" t="n"/>
      <c r="B189" s="27" t="n"/>
      <c r="C189" s="27" t="n"/>
      <c r="D189" s="44" t="n"/>
      <c r="E189" s="30" t="n"/>
      <c r="F189" s="27" t="n"/>
      <c r="G189" s="31" t="n"/>
      <c r="H189" s="45" t="n"/>
      <c r="I189" s="29">
        <f>IF(OR(B189="Buy",B189="Sell"),D189*E189*IF(EXACT(F189,"GBp"),0.01,1)/IF(G189="",1,G189),"")</f>
        <v/>
      </c>
      <c r="J189" s="45" t="n"/>
      <c r="K189" s="29">
        <f>IF(B189="","",IF(B189="Deposit",J189,IF(B189="Withdrawal",-J189,IF(B189="Buy",-(I189+H189),IF(B189="Sell",I189-H189,IF(B189="Dividend",J189,IF(B189="Fee",-J189,0)))))))</f>
        <v/>
      </c>
      <c r="L189" s="27" t="n"/>
    </row>
    <row r="190">
      <c r="A190" s="43" t="n"/>
      <c r="B190" s="27" t="n"/>
      <c r="C190" s="27" t="n"/>
      <c r="D190" s="44" t="n"/>
      <c r="E190" s="30" t="n"/>
      <c r="F190" s="27" t="n"/>
      <c r="G190" s="31" t="n"/>
      <c r="H190" s="45" t="n"/>
      <c r="I190" s="29">
        <f>IF(OR(B190="Buy",B190="Sell"),D190*E190*IF(EXACT(F190,"GBp"),0.01,1)/IF(G190="",1,G190),"")</f>
        <v/>
      </c>
      <c r="J190" s="45" t="n"/>
      <c r="K190" s="29">
        <f>IF(B190="","",IF(B190="Deposit",J190,IF(B190="Withdrawal",-J190,IF(B190="Buy",-(I190+H190),IF(B190="Sell",I190-H190,IF(B190="Dividend",J190,IF(B190="Fee",-J190,0)))))))</f>
        <v/>
      </c>
      <c r="L190" s="27" t="n"/>
    </row>
    <row r="191">
      <c r="A191" s="43" t="n"/>
      <c r="B191" s="27" t="n"/>
      <c r="C191" s="27" t="n"/>
      <c r="D191" s="44" t="n"/>
      <c r="E191" s="30" t="n"/>
      <c r="F191" s="27" t="n"/>
      <c r="G191" s="31" t="n"/>
      <c r="H191" s="45" t="n"/>
      <c r="I191" s="29">
        <f>IF(OR(B191="Buy",B191="Sell"),D191*E191*IF(EXACT(F191,"GBp"),0.01,1)/IF(G191="",1,G191),"")</f>
        <v/>
      </c>
      <c r="J191" s="45" t="n"/>
      <c r="K191" s="29">
        <f>IF(B191="","",IF(B191="Deposit",J191,IF(B191="Withdrawal",-J191,IF(B191="Buy",-(I191+H191),IF(B191="Sell",I191-H191,IF(B191="Dividend",J191,IF(B191="Fee",-J191,0)))))))</f>
        <v/>
      </c>
      <c r="L191" s="27" t="n"/>
    </row>
    <row r="192">
      <c r="A192" s="43" t="n"/>
      <c r="B192" s="27" t="n"/>
      <c r="C192" s="27" t="n"/>
      <c r="D192" s="44" t="n"/>
      <c r="E192" s="30" t="n"/>
      <c r="F192" s="27" t="n"/>
      <c r="G192" s="31" t="n"/>
      <c r="H192" s="45" t="n"/>
      <c r="I192" s="29">
        <f>IF(OR(B192="Buy",B192="Sell"),D192*E192*IF(EXACT(F192,"GBp"),0.01,1)/IF(G192="",1,G192),"")</f>
        <v/>
      </c>
      <c r="J192" s="45" t="n"/>
      <c r="K192" s="29">
        <f>IF(B192="","",IF(B192="Deposit",J192,IF(B192="Withdrawal",-J192,IF(B192="Buy",-(I192+H192),IF(B192="Sell",I192-H192,IF(B192="Dividend",J192,IF(B192="Fee",-J192,0)))))))</f>
        <v/>
      </c>
      <c r="L192" s="27" t="n"/>
    </row>
    <row r="193">
      <c r="A193" s="43" t="n"/>
      <c r="B193" s="27" t="n"/>
      <c r="C193" s="27" t="n"/>
      <c r="D193" s="44" t="n"/>
      <c r="E193" s="30" t="n"/>
      <c r="F193" s="27" t="n"/>
      <c r="G193" s="31" t="n"/>
      <c r="H193" s="45" t="n"/>
      <c r="I193" s="29">
        <f>IF(OR(B193="Buy",B193="Sell"),D193*E193*IF(EXACT(F193,"GBp"),0.01,1)/IF(G193="",1,G193),"")</f>
        <v/>
      </c>
      <c r="J193" s="45" t="n"/>
      <c r="K193" s="29">
        <f>IF(B193="","",IF(B193="Deposit",J193,IF(B193="Withdrawal",-J193,IF(B193="Buy",-(I193+H193),IF(B193="Sell",I193-H193,IF(B193="Dividend",J193,IF(B193="Fee",-J193,0)))))))</f>
        <v/>
      </c>
      <c r="L193" s="27" t="n"/>
    </row>
    <row r="194">
      <c r="A194" s="43" t="n"/>
      <c r="B194" s="27" t="n"/>
      <c r="C194" s="27" t="n"/>
      <c r="D194" s="44" t="n"/>
      <c r="E194" s="30" t="n"/>
      <c r="F194" s="27" t="n"/>
      <c r="G194" s="31" t="n"/>
      <c r="H194" s="45" t="n"/>
      <c r="I194" s="29">
        <f>IF(OR(B194="Buy",B194="Sell"),D194*E194*IF(EXACT(F194,"GBp"),0.01,1)/IF(G194="",1,G194),"")</f>
        <v/>
      </c>
      <c r="J194" s="45" t="n"/>
      <c r="K194" s="29">
        <f>IF(B194="","",IF(B194="Deposit",J194,IF(B194="Withdrawal",-J194,IF(B194="Buy",-(I194+H194),IF(B194="Sell",I194-H194,IF(B194="Dividend",J194,IF(B194="Fee",-J194,0)))))))</f>
        <v/>
      </c>
      <c r="L194" s="27" t="n"/>
    </row>
    <row r="195">
      <c r="A195" s="43" t="n"/>
      <c r="B195" s="27" t="n"/>
      <c r="C195" s="27" t="n"/>
      <c r="D195" s="44" t="n"/>
      <c r="E195" s="30" t="n"/>
      <c r="F195" s="27" t="n"/>
      <c r="G195" s="31" t="n"/>
      <c r="H195" s="45" t="n"/>
      <c r="I195" s="29">
        <f>IF(OR(B195="Buy",B195="Sell"),D195*E195*IF(EXACT(F195,"GBp"),0.01,1)/IF(G195="",1,G195),"")</f>
        <v/>
      </c>
      <c r="J195" s="45" t="n"/>
      <c r="K195" s="29">
        <f>IF(B195="","",IF(B195="Deposit",J195,IF(B195="Withdrawal",-J195,IF(B195="Buy",-(I195+H195),IF(B195="Sell",I195-H195,IF(B195="Dividend",J195,IF(B195="Fee",-J195,0)))))))</f>
        <v/>
      </c>
      <c r="L195" s="27" t="n"/>
    </row>
    <row r="196">
      <c r="A196" s="43" t="n"/>
      <c r="B196" s="27" t="n"/>
      <c r="C196" s="27" t="n"/>
      <c r="D196" s="44" t="n"/>
      <c r="E196" s="30" t="n"/>
      <c r="F196" s="27" t="n"/>
      <c r="G196" s="31" t="n"/>
      <c r="H196" s="45" t="n"/>
      <c r="I196" s="29">
        <f>IF(OR(B196="Buy",B196="Sell"),D196*E196*IF(EXACT(F196,"GBp"),0.01,1)/IF(G196="",1,G196),"")</f>
        <v/>
      </c>
      <c r="J196" s="45" t="n"/>
      <c r="K196" s="29">
        <f>IF(B196="","",IF(B196="Deposit",J196,IF(B196="Withdrawal",-J196,IF(B196="Buy",-(I196+H196),IF(B196="Sell",I196-H196,IF(B196="Dividend",J196,IF(B196="Fee",-J196,0)))))))</f>
        <v/>
      </c>
      <c r="L196" s="27" t="n"/>
    </row>
    <row r="197">
      <c r="A197" s="43" t="n"/>
      <c r="B197" s="27" t="n"/>
      <c r="C197" s="27" t="n"/>
      <c r="D197" s="44" t="n"/>
      <c r="E197" s="30" t="n"/>
      <c r="F197" s="27" t="n"/>
      <c r="G197" s="31" t="n"/>
      <c r="H197" s="45" t="n"/>
      <c r="I197" s="29">
        <f>IF(OR(B197="Buy",B197="Sell"),D197*E197*IF(EXACT(F197,"GBp"),0.01,1)/IF(G197="",1,G197),"")</f>
        <v/>
      </c>
      <c r="J197" s="45" t="n"/>
      <c r="K197" s="29">
        <f>IF(B197="","",IF(B197="Deposit",J197,IF(B197="Withdrawal",-J197,IF(B197="Buy",-(I197+H197),IF(B197="Sell",I197-H197,IF(B197="Dividend",J197,IF(B197="Fee",-J197,0)))))))</f>
        <v/>
      </c>
      <c r="L197" s="27" t="n"/>
    </row>
    <row r="198">
      <c r="A198" s="43" t="n"/>
      <c r="B198" s="27" t="n"/>
      <c r="C198" s="27" t="n"/>
      <c r="D198" s="44" t="n"/>
      <c r="E198" s="30" t="n"/>
      <c r="F198" s="27" t="n"/>
      <c r="G198" s="31" t="n"/>
      <c r="H198" s="45" t="n"/>
      <c r="I198" s="29">
        <f>IF(OR(B198="Buy",B198="Sell"),D198*E198*IF(EXACT(F198,"GBp"),0.01,1)/IF(G198="",1,G198),"")</f>
        <v/>
      </c>
      <c r="J198" s="45" t="n"/>
      <c r="K198" s="29">
        <f>IF(B198="","",IF(B198="Deposit",J198,IF(B198="Withdrawal",-J198,IF(B198="Buy",-(I198+H198),IF(B198="Sell",I198-H198,IF(B198="Dividend",J198,IF(B198="Fee",-J198,0)))))))</f>
        <v/>
      </c>
      <c r="L198" s="27" t="n"/>
    </row>
    <row r="199">
      <c r="A199" s="43" t="n"/>
      <c r="B199" s="27" t="n"/>
      <c r="C199" s="27" t="n"/>
      <c r="D199" s="44" t="n"/>
      <c r="E199" s="30" t="n"/>
      <c r="F199" s="27" t="n"/>
      <c r="G199" s="31" t="n"/>
      <c r="H199" s="45" t="n"/>
      <c r="I199" s="29">
        <f>IF(OR(B199="Buy",B199="Sell"),D199*E199*IF(EXACT(F199,"GBp"),0.01,1)/IF(G199="",1,G199),"")</f>
        <v/>
      </c>
      <c r="J199" s="45" t="n"/>
      <c r="K199" s="29">
        <f>IF(B199="","",IF(B199="Deposit",J199,IF(B199="Withdrawal",-J199,IF(B199="Buy",-(I199+H199),IF(B199="Sell",I199-H199,IF(B199="Dividend",J199,IF(B199="Fee",-J199,0)))))))</f>
        <v/>
      </c>
      <c r="L199" s="27" t="n"/>
    </row>
    <row r="200">
      <c r="A200" s="43" t="n"/>
      <c r="B200" s="27" t="n"/>
      <c r="C200" s="27" t="n"/>
      <c r="D200" s="44" t="n"/>
      <c r="E200" s="30" t="n"/>
      <c r="F200" s="27" t="n"/>
      <c r="G200" s="31" t="n"/>
      <c r="H200" s="45" t="n"/>
      <c r="I200" s="29">
        <f>IF(OR(B200="Buy",B200="Sell"),D200*E200*IF(EXACT(F200,"GBp"),0.01,1)/IF(G200="",1,G200),"")</f>
        <v/>
      </c>
      <c r="J200" s="45" t="n"/>
      <c r="K200" s="29">
        <f>IF(B200="","",IF(B200="Deposit",J200,IF(B200="Withdrawal",-J200,IF(B200="Buy",-(I200+H200),IF(B200="Sell",I200-H200,IF(B200="Dividend",J200,IF(B200="Fee",-J200,0)))))))</f>
        <v/>
      </c>
      <c r="L200" s="27" t="n"/>
    </row>
    <row r="201">
      <c r="A201" s="43" t="n"/>
      <c r="B201" s="27" t="n"/>
      <c r="C201" s="27" t="n"/>
      <c r="D201" s="44" t="n"/>
      <c r="E201" s="30" t="n"/>
      <c r="F201" s="27" t="n"/>
      <c r="G201" s="31" t="n"/>
      <c r="H201" s="45" t="n"/>
      <c r="I201" s="29">
        <f>IF(OR(B201="Buy",B201="Sell"),D201*E201*IF(EXACT(F201,"GBp"),0.01,1)/IF(G201="",1,G201),"")</f>
        <v/>
      </c>
      <c r="J201" s="45" t="n"/>
      <c r="K201" s="29">
        <f>IF(B201="","",IF(B201="Deposit",J201,IF(B201="Withdrawal",-J201,IF(B201="Buy",-(I201+H201),IF(B201="Sell",I201-H201,IF(B201="Dividend",J201,IF(B201="Fee",-J201,0)))))))</f>
        <v/>
      </c>
      <c r="L201" s="27" t="n"/>
    </row>
    <row r="202">
      <c r="A202" s="43" t="n"/>
      <c r="B202" s="27" t="n"/>
      <c r="C202" s="27" t="n"/>
      <c r="D202" s="44" t="n"/>
      <c r="E202" s="30" t="n"/>
      <c r="F202" s="27" t="n"/>
      <c r="G202" s="31" t="n"/>
      <c r="H202" s="45" t="n"/>
      <c r="I202" s="29">
        <f>IF(OR(B202="Buy",B202="Sell"),D202*E202*IF(EXACT(F202,"GBp"),0.01,1)/IF(G202="",1,G202),"")</f>
        <v/>
      </c>
      <c r="J202" s="45" t="n"/>
      <c r="K202" s="29">
        <f>IF(B202="","",IF(B202="Deposit",J202,IF(B202="Withdrawal",-J202,IF(B202="Buy",-(I202+H202),IF(B202="Sell",I202-H202,IF(B202="Dividend",J202,IF(B202="Fee",-J202,0)))))))</f>
        <v/>
      </c>
      <c r="L202" s="27" t="n"/>
    </row>
    <row r="203">
      <c r="A203" s="43" t="n"/>
      <c r="B203" s="27" t="n"/>
      <c r="C203" s="27" t="n"/>
      <c r="D203" s="44" t="n"/>
      <c r="E203" s="30" t="n"/>
      <c r="F203" s="27" t="n"/>
      <c r="G203" s="31" t="n"/>
      <c r="H203" s="45" t="n"/>
      <c r="I203" s="29">
        <f>IF(OR(B203="Buy",B203="Sell"),D203*E203*IF(EXACT(F203,"GBp"),0.01,1)/IF(G203="",1,G203),"")</f>
        <v/>
      </c>
      <c r="J203" s="45" t="n"/>
      <c r="K203" s="29">
        <f>IF(B203="","",IF(B203="Deposit",J203,IF(B203="Withdrawal",-J203,IF(B203="Buy",-(I203+H203),IF(B203="Sell",I203-H203,IF(B203="Dividend",J203,IF(B203="Fee",-J203,0)))))))</f>
        <v/>
      </c>
      <c r="L203" s="27" t="n"/>
    </row>
    <row r="204">
      <c r="A204" s="43" t="n"/>
      <c r="B204" s="27" t="n"/>
      <c r="C204" s="27" t="n"/>
      <c r="D204" s="44" t="n"/>
      <c r="E204" s="30" t="n"/>
      <c r="F204" s="27" t="n"/>
      <c r="G204" s="31" t="n"/>
      <c r="H204" s="45" t="n"/>
      <c r="I204" s="29">
        <f>IF(OR(B204="Buy",B204="Sell"),D204*E204*IF(EXACT(F204,"GBp"),0.01,1)/IF(G204="",1,G204),"")</f>
        <v/>
      </c>
      <c r="J204" s="45" t="n"/>
      <c r="K204" s="29">
        <f>IF(B204="","",IF(B204="Deposit",J204,IF(B204="Withdrawal",-J204,IF(B204="Buy",-(I204+H204),IF(B204="Sell",I204-H204,IF(B204="Dividend",J204,IF(B204="Fee",-J204,0)))))))</f>
        <v/>
      </c>
      <c r="L204" s="27" t="n"/>
    </row>
    <row r="205">
      <c r="A205" s="43" t="n"/>
      <c r="B205" s="27" t="n"/>
      <c r="C205" s="27" t="n"/>
      <c r="D205" s="44" t="n"/>
      <c r="E205" s="30" t="n"/>
      <c r="F205" s="27" t="n"/>
      <c r="G205" s="31" t="n"/>
      <c r="H205" s="45" t="n"/>
      <c r="I205" s="29">
        <f>IF(OR(B205="Buy",B205="Sell"),D205*E205*IF(EXACT(F205,"GBp"),0.01,1)/IF(G205="",1,G205),"")</f>
        <v/>
      </c>
      <c r="J205" s="45" t="n"/>
      <c r="K205" s="29">
        <f>IF(B205="","",IF(B205="Deposit",J205,IF(B205="Withdrawal",-J205,IF(B205="Buy",-(I205+H205),IF(B205="Sell",I205-H205,IF(B205="Dividend",J205,IF(B205="Fee",-J205,0)))))))</f>
        <v/>
      </c>
      <c r="L205" s="27" t="n"/>
    </row>
    <row r="206">
      <c r="A206" s="43" t="n"/>
      <c r="B206" s="27" t="n"/>
      <c r="C206" s="27" t="n"/>
      <c r="D206" s="44" t="n"/>
      <c r="E206" s="30" t="n"/>
      <c r="F206" s="27" t="n"/>
      <c r="G206" s="31" t="n"/>
      <c r="H206" s="45" t="n"/>
      <c r="I206" s="29">
        <f>IF(OR(B206="Buy",B206="Sell"),D206*E206*IF(EXACT(F206,"GBp"),0.01,1)/IF(G206="",1,G206),"")</f>
        <v/>
      </c>
      <c r="J206" s="45" t="n"/>
      <c r="K206" s="29">
        <f>IF(B206="","",IF(B206="Deposit",J206,IF(B206="Withdrawal",-J206,IF(B206="Buy",-(I206+H206),IF(B206="Sell",I206-H206,IF(B206="Dividend",J206,IF(B206="Fee",-J206,0)))))))</f>
        <v/>
      </c>
      <c r="L206" s="27" t="n"/>
    </row>
    <row r="207">
      <c r="A207" s="43" t="n"/>
      <c r="B207" s="27" t="n"/>
      <c r="C207" s="27" t="n"/>
      <c r="D207" s="44" t="n"/>
      <c r="E207" s="30" t="n"/>
      <c r="F207" s="27" t="n"/>
      <c r="G207" s="31" t="n"/>
      <c r="H207" s="45" t="n"/>
      <c r="I207" s="29">
        <f>IF(OR(B207="Buy",B207="Sell"),D207*E207*IF(EXACT(F207,"GBp"),0.01,1)/IF(G207="",1,G207),"")</f>
        <v/>
      </c>
      <c r="J207" s="45" t="n"/>
      <c r="K207" s="29">
        <f>IF(B207="","",IF(B207="Deposit",J207,IF(B207="Withdrawal",-J207,IF(B207="Buy",-(I207+H207),IF(B207="Sell",I207-H207,IF(B207="Dividend",J207,IF(B207="Fee",-J207,0)))))))</f>
        <v/>
      </c>
      <c r="L207" s="27" t="n"/>
    </row>
    <row r="208">
      <c r="A208" s="43" t="n"/>
      <c r="B208" s="27" t="n"/>
      <c r="C208" s="27" t="n"/>
      <c r="D208" s="44" t="n"/>
      <c r="E208" s="30" t="n"/>
      <c r="F208" s="27" t="n"/>
      <c r="G208" s="31" t="n"/>
      <c r="H208" s="45" t="n"/>
      <c r="I208" s="29">
        <f>IF(OR(B208="Buy",B208="Sell"),D208*E208*IF(EXACT(F208,"GBp"),0.01,1)/IF(G208="",1,G208),"")</f>
        <v/>
      </c>
      <c r="J208" s="45" t="n"/>
      <c r="K208" s="29">
        <f>IF(B208="","",IF(B208="Deposit",J208,IF(B208="Withdrawal",-J208,IF(B208="Buy",-(I208+H208),IF(B208="Sell",I208-H208,IF(B208="Dividend",J208,IF(B208="Fee",-J208,0)))))))</f>
        <v/>
      </c>
      <c r="L208" s="27" t="n"/>
    </row>
    <row r="209">
      <c r="A209" s="43" t="n"/>
      <c r="B209" s="27" t="n"/>
      <c r="C209" s="27" t="n"/>
      <c r="D209" s="44" t="n"/>
      <c r="E209" s="30" t="n"/>
      <c r="F209" s="27" t="n"/>
      <c r="G209" s="31" t="n"/>
      <c r="H209" s="45" t="n"/>
      <c r="I209" s="29">
        <f>IF(OR(B209="Buy",B209="Sell"),D209*E209*IF(EXACT(F209,"GBp"),0.01,1)/IF(G209="",1,G209),"")</f>
        <v/>
      </c>
      <c r="J209" s="45" t="n"/>
      <c r="K209" s="29">
        <f>IF(B209="","",IF(B209="Deposit",J209,IF(B209="Withdrawal",-J209,IF(B209="Buy",-(I209+H209),IF(B209="Sell",I209-H209,IF(B209="Dividend",J209,IF(B209="Fee",-J209,0)))))))</f>
        <v/>
      </c>
      <c r="L209" s="27" t="n"/>
    </row>
    <row r="210">
      <c r="A210" s="43" t="n"/>
      <c r="B210" s="27" t="n"/>
      <c r="C210" s="27" t="n"/>
      <c r="D210" s="44" t="n"/>
      <c r="E210" s="30" t="n"/>
      <c r="F210" s="27" t="n"/>
      <c r="G210" s="31" t="n"/>
      <c r="H210" s="45" t="n"/>
      <c r="I210" s="29">
        <f>IF(OR(B210="Buy",B210="Sell"),D210*E210*IF(EXACT(F210,"GBp"),0.01,1)/IF(G210="",1,G210),"")</f>
        <v/>
      </c>
      <c r="J210" s="45" t="n"/>
      <c r="K210" s="29">
        <f>IF(B210="","",IF(B210="Deposit",J210,IF(B210="Withdrawal",-J210,IF(B210="Buy",-(I210+H210),IF(B210="Sell",I210-H210,IF(B210="Dividend",J210,IF(B210="Fee",-J210,0)))))))</f>
        <v/>
      </c>
      <c r="L210" s="27" t="n"/>
    </row>
    <row r="211">
      <c r="A211" s="43" t="n"/>
      <c r="B211" s="27" t="n"/>
      <c r="C211" s="27" t="n"/>
      <c r="D211" s="44" t="n"/>
      <c r="E211" s="30" t="n"/>
      <c r="F211" s="27" t="n"/>
      <c r="G211" s="31" t="n"/>
      <c r="H211" s="45" t="n"/>
      <c r="I211" s="29">
        <f>IF(OR(B211="Buy",B211="Sell"),D211*E211*IF(EXACT(F211,"GBp"),0.01,1)/IF(G211="",1,G211),"")</f>
        <v/>
      </c>
      <c r="J211" s="45" t="n"/>
      <c r="K211" s="29">
        <f>IF(B211="","",IF(B211="Deposit",J211,IF(B211="Withdrawal",-J211,IF(B211="Buy",-(I211+H211),IF(B211="Sell",I211-H211,IF(B211="Dividend",J211,IF(B211="Fee",-J211,0)))))))</f>
        <v/>
      </c>
      <c r="L211" s="27" t="n"/>
    </row>
    <row r="212">
      <c r="A212" s="43" t="n"/>
      <c r="B212" s="27" t="n"/>
      <c r="C212" s="27" t="n"/>
      <c r="D212" s="44" t="n"/>
      <c r="E212" s="30" t="n"/>
      <c r="F212" s="27" t="n"/>
      <c r="G212" s="31" t="n"/>
      <c r="H212" s="45" t="n"/>
      <c r="I212" s="29">
        <f>IF(OR(B212="Buy",B212="Sell"),D212*E212*IF(EXACT(F212,"GBp"),0.01,1)/IF(G212="",1,G212),"")</f>
        <v/>
      </c>
      <c r="J212" s="45" t="n"/>
      <c r="K212" s="29">
        <f>IF(B212="","",IF(B212="Deposit",J212,IF(B212="Withdrawal",-J212,IF(B212="Buy",-(I212+H212),IF(B212="Sell",I212-H212,IF(B212="Dividend",J212,IF(B212="Fee",-J212,0)))))))</f>
        <v/>
      </c>
      <c r="L212" s="27" t="n"/>
    </row>
    <row r="213">
      <c r="A213" s="43" t="n"/>
      <c r="B213" s="27" t="n"/>
      <c r="C213" s="27" t="n"/>
      <c r="D213" s="44" t="n"/>
      <c r="E213" s="30" t="n"/>
      <c r="F213" s="27" t="n"/>
      <c r="G213" s="31" t="n"/>
      <c r="H213" s="45" t="n"/>
      <c r="I213" s="29">
        <f>IF(OR(B213="Buy",B213="Sell"),D213*E213*IF(EXACT(F213,"GBp"),0.01,1)/IF(G213="",1,G213),"")</f>
        <v/>
      </c>
      <c r="J213" s="45" t="n"/>
      <c r="K213" s="29">
        <f>IF(B213="","",IF(B213="Deposit",J213,IF(B213="Withdrawal",-J213,IF(B213="Buy",-(I213+H213),IF(B213="Sell",I213-H213,IF(B213="Dividend",J213,IF(B213="Fee",-J213,0)))))))</f>
        <v/>
      </c>
      <c r="L213" s="27" t="n"/>
    </row>
    <row r="214">
      <c r="A214" s="43" t="n"/>
      <c r="B214" s="27" t="n"/>
      <c r="C214" s="27" t="n"/>
      <c r="D214" s="44" t="n"/>
      <c r="E214" s="30" t="n"/>
      <c r="F214" s="27" t="n"/>
      <c r="G214" s="31" t="n"/>
      <c r="H214" s="45" t="n"/>
      <c r="I214" s="29">
        <f>IF(OR(B214="Buy",B214="Sell"),D214*E214*IF(EXACT(F214,"GBp"),0.01,1)/IF(G214="",1,G214),"")</f>
        <v/>
      </c>
      <c r="J214" s="45" t="n"/>
      <c r="K214" s="29">
        <f>IF(B214="","",IF(B214="Deposit",J214,IF(B214="Withdrawal",-J214,IF(B214="Buy",-(I214+H214),IF(B214="Sell",I214-H214,IF(B214="Dividend",J214,IF(B214="Fee",-J214,0)))))))</f>
        <v/>
      </c>
      <c r="L214" s="27" t="n"/>
    </row>
    <row r="215">
      <c r="A215" s="43" t="n"/>
      <c r="B215" s="27" t="n"/>
      <c r="C215" s="27" t="n"/>
      <c r="D215" s="44" t="n"/>
      <c r="E215" s="30" t="n"/>
      <c r="F215" s="27" t="n"/>
      <c r="G215" s="31" t="n"/>
      <c r="H215" s="45" t="n"/>
      <c r="I215" s="29">
        <f>IF(OR(B215="Buy",B215="Sell"),D215*E215*IF(EXACT(F215,"GBp"),0.01,1)/IF(G215="",1,G215),"")</f>
        <v/>
      </c>
      <c r="J215" s="45" t="n"/>
      <c r="K215" s="29">
        <f>IF(B215="","",IF(B215="Deposit",J215,IF(B215="Withdrawal",-J215,IF(B215="Buy",-(I215+H215),IF(B215="Sell",I215-H215,IF(B215="Dividend",J215,IF(B215="Fee",-J215,0)))))))</f>
        <v/>
      </c>
      <c r="L215" s="27" t="n"/>
    </row>
    <row r="216">
      <c r="A216" s="43" t="n"/>
      <c r="B216" s="27" t="n"/>
      <c r="C216" s="27" t="n"/>
      <c r="D216" s="44" t="n"/>
      <c r="E216" s="30" t="n"/>
      <c r="F216" s="27" t="n"/>
      <c r="G216" s="31" t="n"/>
      <c r="H216" s="45" t="n"/>
      <c r="I216" s="29">
        <f>IF(OR(B216="Buy",B216="Sell"),D216*E216*IF(EXACT(F216,"GBp"),0.01,1)/IF(G216="",1,G216),"")</f>
        <v/>
      </c>
      <c r="J216" s="45" t="n"/>
      <c r="K216" s="29">
        <f>IF(B216="","",IF(B216="Deposit",J216,IF(B216="Withdrawal",-J216,IF(B216="Buy",-(I216+H216),IF(B216="Sell",I216-H216,IF(B216="Dividend",J216,IF(B216="Fee",-J216,0)))))))</f>
        <v/>
      </c>
      <c r="L216" s="27" t="n"/>
    </row>
    <row r="217">
      <c r="A217" s="43" t="n"/>
      <c r="B217" s="27" t="n"/>
      <c r="C217" s="27" t="n"/>
      <c r="D217" s="44" t="n"/>
      <c r="E217" s="30" t="n"/>
      <c r="F217" s="27" t="n"/>
      <c r="G217" s="31" t="n"/>
      <c r="H217" s="45" t="n"/>
      <c r="I217" s="29">
        <f>IF(OR(B217="Buy",B217="Sell"),D217*E217*IF(EXACT(F217,"GBp"),0.01,1)/IF(G217="",1,G217),"")</f>
        <v/>
      </c>
      <c r="J217" s="45" t="n"/>
      <c r="K217" s="29">
        <f>IF(B217="","",IF(B217="Deposit",J217,IF(B217="Withdrawal",-J217,IF(B217="Buy",-(I217+H217),IF(B217="Sell",I217-H217,IF(B217="Dividend",J217,IF(B217="Fee",-J217,0)))))))</f>
        <v/>
      </c>
      <c r="L217" s="27" t="n"/>
    </row>
    <row r="218">
      <c r="A218" s="43" t="n"/>
      <c r="B218" s="27" t="n"/>
      <c r="C218" s="27" t="n"/>
      <c r="D218" s="44" t="n"/>
      <c r="E218" s="30" t="n"/>
      <c r="F218" s="27" t="n"/>
      <c r="G218" s="31" t="n"/>
      <c r="H218" s="45" t="n"/>
      <c r="I218" s="29">
        <f>IF(OR(B218="Buy",B218="Sell"),D218*E218*IF(EXACT(F218,"GBp"),0.01,1)/IF(G218="",1,G218),"")</f>
        <v/>
      </c>
      <c r="J218" s="45" t="n"/>
      <c r="K218" s="29">
        <f>IF(B218="","",IF(B218="Deposit",J218,IF(B218="Withdrawal",-J218,IF(B218="Buy",-(I218+H218),IF(B218="Sell",I218-H218,IF(B218="Dividend",J218,IF(B218="Fee",-J218,0)))))))</f>
        <v/>
      </c>
      <c r="L218" s="27" t="n"/>
    </row>
    <row r="219">
      <c r="A219" s="43" t="n"/>
      <c r="B219" s="27" t="n"/>
      <c r="C219" s="27" t="n"/>
      <c r="D219" s="44" t="n"/>
      <c r="E219" s="30" t="n"/>
      <c r="F219" s="27" t="n"/>
      <c r="G219" s="31" t="n"/>
      <c r="H219" s="45" t="n"/>
      <c r="I219" s="29">
        <f>IF(OR(B219="Buy",B219="Sell"),D219*E219*IF(EXACT(F219,"GBp"),0.01,1)/IF(G219="",1,G219),"")</f>
        <v/>
      </c>
      <c r="J219" s="45" t="n"/>
      <c r="K219" s="29">
        <f>IF(B219="","",IF(B219="Deposit",J219,IF(B219="Withdrawal",-J219,IF(B219="Buy",-(I219+H219),IF(B219="Sell",I219-H219,IF(B219="Dividend",J219,IF(B219="Fee",-J219,0)))))))</f>
        <v/>
      </c>
      <c r="L219" s="27" t="n"/>
    </row>
    <row r="220">
      <c r="A220" s="43" t="n"/>
      <c r="B220" s="27" t="n"/>
      <c r="C220" s="27" t="n"/>
      <c r="D220" s="44" t="n"/>
      <c r="E220" s="30" t="n"/>
      <c r="F220" s="27" t="n"/>
      <c r="G220" s="31" t="n"/>
      <c r="H220" s="45" t="n"/>
      <c r="I220" s="29">
        <f>IF(OR(B220="Buy",B220="Sell"),D220*E220*IF(EXACT(F220,"GBp"),0.01,1)/IF(G220="",1,G220),"")</f>
        <v/>
      </c>
      <c r="J220" s="45" t="n"/>
      <c r="K220" s="29">
        <f>IF(B220="","",IF(B220="Deposit",J220,IF(B220="Withdrawal",-J220,IF(B220="Buy",-(I220+H220),IF(B220="Sell",I220-H220,IF(B220="Dividend",J220,IF(B220="Fee",-J220,0)))))))</f>
        <v/>
      </c>
      <c r="L220" s="27" t="n"/>
    </row>
    <row r="221">
      <c r="A221" s="43" t="n"/>
      <c r="B221" s="27" t="n"/>
      <c r="C221" s="27" t="n"/>
      <c r="D221" s="44" t="n"/>
      <c r="E221" s="30" t="n"/>
      <c r="F221" s="27" t="n"/>
      <c r="G221" s="31" t="n"/>
      <c r="H221" s="45" t="n"/>
      <c r="I221" s="29">
        <f>IF(OR(B221="Buy",B221="Sell"),D221*E221*IF(EXACT(F221,"GBp"),0.01,1)/IF(G221="",1,G221),"")</f>
        <v/>
      </c>
      <c r="J221" s="45" t="n"/>
      <c r="K221" s="29">
        <f>IF(B221="","",IF(B221="Deposit",J221,IF(B221="Withdrawal",-J221,IF(B221="Buy",-(I221+H221),IF(B221="Sell",I221-H221,IF(B221="Dividend",J221,IF(B221="Fee",-J221,0)))))))</f>
        <v/>
      </c>
      <c r="L221" s="27" t="n"/>
    </row>
    <row r="222">
      <c r="A222" s="43" t="n"/>
      <c r="B222" s="27" t="n"/>
      <c r="C222" s="27" t="n"/>
      <c r="D222" s="44" t="n"/>
      <c r="E222" s="30" t="n"/>
      <c r="F222" s="27" t="n"/>
      <c r="G222" s="31" t="n"/>
      <c r="H222" s="45" t="n"/>
      <c r="I222" s="29">
        <f>IF(OR(B222="Buy",B222="Sell"),D222*E222*IF(EXACT(F222,"GBp"),0.01,1)/IF(G222="",1,G222),"")</f>
        <v/>
      </c>
      <c r="J222" s="45" t="n"/>
      <c r="K222" s="29">
        <f>IF(B222="","",IF(B222="Deposit",J222,IF(B222="Withdrawal",-J222,IF(B222="Buy",-(I222+H222),IF(B222="Sell",I222-H222,IF(B222="Dividend",J222,IF(B222="Fee",-J222,0)))))))</f>
        <v/>
      </c>
      <c r="L222" s="27" t="n"/>
    </row>
    <row r="223">
      <c r="A223" s="43" t="n"/>
      <c r="B223" s="27" t="n"/>
      <c r="C223" s="27" t="n"/>
      <c r="D223" s="44" t="n"/>
      <c r="E223" s="30" t="n"/>
      <c r="F223" s="27" t="n"/>
      <c r="G223" s="31" t="n"/>
      <c r="H223" s="45" t="n"/>
      <c r="I223" s="29">
        <f>IF(OR(B223="Buy",B223="Sell"),D223*E223*IF(EXACT(F223,"GBp"),0.01,1)/IF(G223="",1,G223),"")</f>
        <v/>
      </c>
      <c r="J223" s="45" t="n"/>
      <c r="K223" s="29">
        <f>IF(B223="","",IF(B223="Deposit",J223,IF(B223="Withdrawal",-J223,IF(B223="Buy",-(I223+H223),IF(B223="Sell",I223-H223,IF(B223="Dividend",J223,IF(B223="Fee",-J223,0)))))))</f>
        <v/>
      </c>
      <c r="L223" s="27" t="n"/>
    </row>
    <row r="224">
      <c r="A224" s="43" t="n"/>
      <c r="B224" s="27" t="n"/>
      <c r="C224" s="27" t="n"/>
      <c r="D224" s="44" t="n"/>
      <c r="E224" s="30" t="n"/>
      <c r="F224" s="27" t="n"/>
      <c r="G224" s="31" t="n"/>
      <c r="H224" s="45" t="n"/>
      <c r="I224" s="29">
        <f>IF(OR(B224="Buy",B224="Sell"),D224*E224*IF(EXACT(F224,"GBp"),0.01,1)/IF(G224="",1,G224),"")</f>
        <v/>
      </c>
      <c r="J224" s="45" t="n"/>
      <c r="K224" s="29">
        <f>IF(B224="","",IF(B224="Deposit",J224,IF(B224="Withdrawal",-J224,IF(B224="Buy",-(I224+H224),IF(B224="Sell",I224-H224,IF(B224="Dividend",J224,IF(B224="Fee",-J224,0)))))))</f>
        <v/>
      </c>
      <c r="L224" s="27" t="n"/>
    </row>
    <row r="225">
      <c r="A225" s="43" t="n"/>
      <c r="B225" s="27" t="n"/>
      <c r="C225" s="27" t="n"/>
      <c r="D225" s="44" t="n"/>
      <c r="E225" s="30" t="n"/>
      <c r="F225" s="27" t="n"/>
      <c r="G225" s="31" t="n"/>
      <c r="H225" s="45" t="n"/>
      <c r="I225" s="29">
        <f>IF(OR(B225="Buy",B225="Sell"),D225*E225*IF(EXACT(F225,"GBp"),0.01,1)/IF(G225="",1,G225),"")</f>
        <v/>
      </c>
      <c r="J225" s="45" t="n"/>
      <c r="K225" s="29">
        <f>IF(B225="","",IF(B225="Deposit",J225,IF(B225="Withdrawal",-J225,IF(B225="Buy",-(I225+H225),IF(B225="Sell",I225-H225,IF(B225="Dividend",J225,IF(B225="Fee",-J225,0)))))))</f>
        <v/>
      </c>
      <c r="L225" s="27" t="n"/>
    </row>
    <row r="226">
      <c r="A226" s="43" t="n"/>
      <c r="B226" s="27" t="n"/>
      <c r="C226" s="27" t="n"/>
      <c r="D226" s="44" t="n"/>
      <c r="E226" s="30" t="n"/>
      <c r="F226" s="27" t="n"/>
      <c r="G226" s="31" t="n"/>
      <c r="H226" s="45" t="n"/>
      <c r="I226" s="29">
        <f>IF(OR(B226="Buy",B226="Sell"),D226*E226*IF(EXACT(F226,"GBp"),0.01,1)/IF(G226="",1,G226),"")</f>
        <v/>
      </c>
      <c r="J226" s="45" t="n"/>
      <c r="K226" s="29">
        <f>IF(B226="","",IF(B226="Deposit",J226,IF(B226="Withdrawal",-J226,IF(B226="Buy",-(I226+H226),IF(B226="Sell",I226-H226,IF(B226="Dividend",J226,IF(B226="Fee",-J226,0)))))))</f>
        <v/>
      </c>
      <c r="L226" s="27" t="n"/>
    </row>
    <row r="227">
      <c r="A227" s="43" t="n"/>
      <c r="B227" s="27" t="n"/>
      <c r="C227" s="27" t="n"/>
      <c r="D227" s="44" t="n"/>
      <c r="E227" s="30" t="n"/>
      <c r="F227" s="27" t="n"/>
      <c r="G227" s="31" t="n"/>
      <c r="H227" s="45" t="n"/>
      <c r="I227" s="29">
        <f>IF(OR(B227="Buy",B227="Sell"),D227*E227*IF(EXACT(F227,"GBp"),0.01,1)/IF(G227="",1,G227),"")</f>
        <v/>
      </c>
      <c r="J227" s="45" t="n"/>
      <c r="K227" s="29">
        <f>IF(B227="","",IF(B227="Deposit",J227,IF(B227="Withdrawal",-J227,IF(B227="Buy",-(I227+H227),IF(B227="Sell",I227-H227,IF(B227="Dividend",J227,IF(B227="Fee",-J227,0)))))))</f>
        <v/>
      </c>
      <c r="L227" s="27" t="n"/>
    </row>
    <row r="228">
      <c r="A228" s="43" t="n"/>
      <c r="B228" s="27" t="n"/>
      <c r="C228" s="27" t="n"/>
      <c r="D228" s="44" t="n"/>
      <c r="E228" s="30" t="n"/>
      <c r="F228" s="27" t="n"/>
      <c r="G228" s="31" t="n"/>
      <c r="H228" s="45" t="n"/>
      <c r="I228" s="29">
        <f>IF(OR(B228="Buy",B228="Sell"),D228*E228*IF(EXACT(F228,"GBp"),0.01,1)/IF(G228="",1,G228),"")</f>
        <v/>
      </c>
      <c r="J228" s="45" t="n"/>
      <c r="K228" s="29">
        <f>IF(B228="","",IF(B228="Deposit",J228,IF(B228="Withdrawal",-J228,IF(B228="Buy",-(I228+H228),IF(B228="Sell",I228-H228,IF(B228="Dividend",J228,IF(B228="Fee",-J228,0)))))))</f>
        <v/>
      </c>
      <c r="L228" s="27" t="n"/>
    </row>
    <row r="229">
      <c r="A229" s="43" t="n"/>
      <c r="B229" s="27" t="n"/>
      <c r="C229" s="27" t="n"/>
      <c r="D229" s="44" t="n"/>
      <c r="E229" s="30" t="n"/>
      <c r="F229" s="27" t="n"/>
      <c r="G229" s="31" t="n"/>
      <c r="H229" s="45" t="n"/>
      <c r="I229" s="29">
        <f>IF(OR(B229="Buy",B229="Sell"),D229*E229*IF(EXACT(F229,"GBp"),0.01,1)/IF(G229="",1,G229),"")</f>
        <v/>
      </c>
      <c r="J229" s="45" t="n"/>
      <c r="K229" s="29">
        <f>IF(B229="","",IF(B229="Deposit",J229,IF(B229="Withdrawal",-J229,IF(B229="Buy",-(I229+H229),IF(B229="Sell",I229-H229,IF(B229="Dividend",J229,IF(B229="Fee",-J229,0)))))))</f>
        <v/>
      </c>
      <c r="L229" s="27" t="n"/>
    </row>
    <row r="230">
      <c r="A230" s="43" t="n"/>
      <c r="B230" s="27" t="n"/>
      <c r="C230" s="27" t="n"/>
      <c r="D230" s="44" t="n"/>
      <c r="E230" s="30" t="n"/>
      <c r="F230" s="27" t="n"/>
      <c r="G230" s="31" t="n"/>
      <c r="H230" s="45" t="n"/>
      <c r="I230" s="29">
        <f>IF(OR(B230="Buy",B230="Sell"),D230*E230*IF(EXACT(F230,"GBp"),0.01,1)/IF(G230="",1,G230),"")</f>
        <v/>
      </c>
      <c r="J230" s="45" t="n"/>
      <c r="K230" s="29">
        <f>IF(B230="","",IF(B230="Deposit",J230,IF(B230="Withdrawal",-J230,IF(B230="Buy",-(I230+H230),IF(B230="Sell",I230-H230,IF(B230="Dividend",J230,IF(B230="Fee",-J230,0)))))))</f>
        <v/>
      </c>
      <c r="L230" s="27" t="n"/>
    </row>
    <row r="231">
      <c r="A231" s="43" t="n"/>
      <c r="B231" s="27" t="n"/>
      <c r="C231" s="27" t="n"/>
      <c r="D231" s="44" t="n"/>
      <c r="E231" s="30" t="n"/>
      <c r="F231" s="27" t="n"/>
      <c r="G231" s="31" t="n"/>
      <c r="H231" s="45" t="n"/>
      <c r="I231" s="29">
        <f>IF(OR(B231="Buy",B231="Sell"),D231*E231*IF(EXACT(F231,"GBp"),0.01,1)/IF(G231="",1,G231),"")</f>
        <v/>
      </c>
      <c r="J231" s="45" t="n"/>
      <c r="K231" s="29">
        <f>IF(B231="","",IF(B231="Deposit",J231,IF(B231="Withdrawal",-J231,IF(B231="Buy",-(I231+H231),IF(B231="Sell",I231-H231,IF(B231="Dividend",J231,IF(B231="Fee",-J231,0)))))))</f>
        <v/>
      </c>
      <c r="L231" s="27" t="n"/>
    </row>
    <row r="232">
      <c r="A232" s="43" t="n"/>
      <c r="B232" s="27" t="n"/>
      <c r="C232" s="27" t="n"/>
      <c r="D232" s="44" t="n"/>
      <c r="E232" s="30" t="n"/>
      <c r="F232" s="27" t="n"/>
      <c r="G232" s="31" t="n"/>
      <c r="H232" s="45" t="n"/>
      <c r="I232" s="29">
        <f>IF(OR(B232="Buy",B232="Sell"),D232*E232*IF(EXACT(F232,"GBp"),0.01,1)/IF(G232="",1,G232),"")</f>
        <v/>
      </c>
      <c r="J232" s="45" t="n"/>
      <c r="K232" s="29">
        <f>IF(B232="","",IF(B232="Deposit",J232,IF(B232="Withdrawal",-J232,IF(B232="Buy",-(I232+H232),IF(B232="Sell",I232-H232,IF(B232="Dividend",J232,IF(B232="Fee",-J232,0)))))))</f>
        <v/>
      </c>
      <c r="L232" s="27" t="n"/>
    </row>
    <row r="233">
      <c r="A233" s="43" t="n"/>
      <c r="B233" s="27" t="n"/>
      <c r="C233" s="27" t="n"/>
      <c r="D233" s="44" t="n"/>
      <c r="E233" s="30" t="n"/>
      <c r="F233" s="27" t="n"/>
      <c r="G233" s="31" t="n"/>
      <c r="H233" s="45" t="n"/>
      <c r="I233" s="29">
        <f>IF(OR(B233="Buy",B233="Sell"),D233*E233*IF(EXACT(F233,"GBp"),0.01,1)/IF(G233="",1,G233),"")</f>
        <v/>
      </c>
      <c r="J233" s="45" t="n"/>
      <c r="K233" s="29">
        <f>IF(B233="","",IF(B233="Deposit",J233,IF(B233="Withdrawal",-J233,IF(B233="Buy",-(I233+H233),IF(B233="Sell",I233-H233,IF(B233="Dividend",J233,IF(B233="Fee",-J233,0)))))))</f>
        <v/>
      </c>
      <c r="L233" s="27" t="n"/>
    </row>
    <row r="234">
      <c r="A234" s="43" t="n"/>
      <c r="B234" s="27" t="n"/>
      <c r="C234" s="27" t="n"/>
      <c r="D234" s="44" t="n"/>
      <c r="E234" s="30" t="n"/>
      <c r="F234" s="27" t="n"/>
      <c r="G234" s="31" t="n"/>
      <c r="H234" s="45" t="n"/>
      <c r="I234" s="29">
        <f>IF(OR(B234="Buy",B234="Sell"),D234*E234*IF(EXACT(F234,"GBp"),0.01,1)/IF(G234="",1,G234),"")</f>
        <v/>
      </c>
      <c r="J234" s="45" t="n"/>
      <c r="K234" s="29">
        <f>IF(B234="","",IF(B234="Deposit",J234,IF(B234="Withdrawal",-J234,IF(B234="Buy",-(I234+H234),IF(B234="Sell",I234-H234,IF(B234="Dividend",J234,IF(B234="Fee",-J234,0)))))))</f>
        <v/>
      </c>
      <c r="L234" s="27" t="n"/>
    </row>
    <row r="235">
      <c r="A235" s="43" t="n"/>
      <c r="B235" s="27" t="n"/>
      <c r="C235" s="27" t="n"/>
      <c r="D235" s="44" t="n"/>
      <c r="E235" s="30" t="n"/>
      <c r="F235" s="27" t="n"/>
      <c r="G235" s="31" t="n"/>
      <c r="H235" s="45" t="n"/>
      <c r="I235" s="29">
        <f>IF(OR(B235="Buy",B235="Sell"),D235*E235*IF(EXACT(F235,"GBp"),0.01,1)/IF(G235="",1,G235),"")</f>
        <v/>
      </c>
      <c r="J235" s="45" t="n"/>
      <c r="K235" s="29">
        <f>IF(B235="","",IF(B235="Deposit",J235,IF(B235="Withdrawal",-J235,IF(B235="Buy",-(I235+H235),IF(B235="Sell",I235-H235,IF(B235="Dividend",J235,IF(B235="Fee",-J235,0)))))))</f>
        <v/>
      </c>
      <c r="L235" s="27" t="n"/>
    </row>
    <row r="236">
      <c r="A236" s="43" t="n"/>
      <c r="B236" s="27" t="n"/>
      <c r="C236" s="27" t="n"/>
      <c r="D236" s="44" t="n"/>
      <c r="E236" s="30" t="n"/>
      <c r="F236" s="27" t="n"/>
      <c r="G236" s="31" t="n"/>
      <c r="H236" s="45" t="n"/>
      <c r="I236" s="29">
        <f>IF(OR(B236="Buy",B236="Sell"),D236*E236*IF(EXACT(F236,"GBp"),0.01,1)/IF(G236="",1,G236),"")</f>
        <v/>
      </c>
      <c r="J236" s="45" t="n"/>
      <c r="K236" s="29">
        <f>IF(B236="","",IF(B236="Deposit",J236,IF(B236="Withdrawal",-J236,IF(B236="Buy",-(I236+H236),IF(B236="Sell",I236-H236,IF(B236="Dividend",J236,IF(B236="Fee",-J236,0)))))))</f>
        <v/>
      </c>
      <c r="L236" s="27" t="n"/>
    </row>
    <row r="237">
      <c r="A237" s="43" t="n"/>
      <c r="B237" s="27" t="n"/>
      <c r="C237" s="27" t="n"/>
      <c r="D237" s="44" t="n"/>
      <c r="E237" s="30" t="n"/>
      <c r="F237" s="27" t="n"/>
      <c r="G237" s="31" t="n"/>
      <c r="H237" s="45" t="n"/>
      <c r="I237" s="29">
        <f>IF(OR(B237="Buy",B237="Sell"),D237*E237*IF(EXACT(F237,"GBp"),0.01,1)/IF(G237="",1,G237),"")</f>
        <v/>
      </c>
      <c r="J237" s="45" t="n"/>
      <c r="K237" s="29">
        <f>IF(B237="","",IF(B237="Deposit",J237,IF(B237="Withdrawal",-J237,IF(B237="Buy",-(I237+H237),IF(B237="Sell",I237-H237,IF(B237="Dividend",J237,IF(B237="Fee",-J237,0)))))))</f>
        <v/>
      </c>
      <c r="L237" s="27" t="n"/>
    </row>
    <row r="238">
      <c r="A238" s="43" t="n"/>
      <c r="B238" s="27" t="n"/>
      <c r="C238" s="27" t="n"/>
      <c r="D238" s="44" t="n"/>
      <c r="E238" s="30" t="n"/>
      <c r="F238" s="27" t="n"/>
      <c r="G238" s="31" t="n"/>
      <c r="H238" s="45" t="n"/>
      <c r="I238" s="29">
        <f>IF(OR(B238="Buy",B238="Sell"),D238*E238*IF(EXACT(F238,"GBp"),0.01,1)/IF(G238="",1,G238),"")</f>
        <v/>
      </c>
      <c r="J238" s="45" t="n"/>
      <c r="K238" s="29">
        <f>IF(B238="","",IF(B238="Deposit",J238,IF(B238="Withdrawal",-J238,IF(B238="Buy",-(I238+H238),IF(B238="Sell",I238-H238,IF(B238="Dividend",J238,IF(B238="Fee",-J238,0)))))))</f>
        <v/>
      </c>
      <c r="L238" s="27" t="n"/>
    </row>
    <row r="239">
      <c r="A239" s="43" t="n"/>
      <c r="B239" s="27" t="n"/>
      <c r="C239" s="27" t="n"/>
      <c r="D239" s="44" t="n"/>
      <c r="E239" s="30" t="n"/>
      <c r="F239" s="27" t="n"/>
      <c r="G239" s="31" t="n"/>
      <c r="H239" s="45" t="n"/>
      <c r="I239" s="29">
        <f>IF(OR(B239="Buy",B239="Sell"),D239*E239*IF(EXACT(F239,"GBp"),0.01,1)/IF(G239="",1,G239),"")</f>
        <v/>
      </c>
      <c r="J239" s="45" t="n"/>
      <c r="K239" s="29">
        <f>IF(B239="","",IF(B239="Deposit",J239,IF(B239="Withdrawal",-J239,IF(B239="Buy",-(I239+H239),IF(B239="Sell",I239-H239,IF(B239="Dividend",J239,IF(B239="Fee",-J239,0)))))))</f>
        <v/>
      </c>
      <c r="L239" s="27" t="n"/>
    </row>
    <row r="240">
      <c r="A240" s="43" t="n"/>
      <c r="B240" s="27" t="n"/>
      <c r="C240" s="27" t="n"/>
      <c r="D240" s="44" t="n"/>
      <c r="E240" s="30" t="n"/>
      <c r="F240" s="27" t="n"/>
      <c r="G240" s="31" t="n"/>
      <c r="H240" s="45" t="n"/>
      <c r="I240" s="29">
        <f>IF(OR(B240="Buy",B240="Sell"),D240*E240*IF(EXACT(F240,"GBp"),0.01,1)/IF(G240="",1,G240),"")</f>
        <v/>
      </c>
      <c r="J240" s="45" t="n"/>
      <c r="K240" s="29">
        <f>IF(B240="","",IF(B240="Deposit",J240,IF(B240="Withdrawal",-J240,IF(B240="Buy",-(I240+H240),IF(B240="Sell",I240-H240,IF(B240="Dividend",J240,IF(B240="Fee",-J240,0)))))))</f>
        <v/>
      </c>
      <c r="L240" s="27" t="n"/>
    </row>
    <row r="241">
      <c r="A241" s="43" t="n"/>
      <c r="B241" s="27" t="n"/>
      <c r="C241" s="27" t="n"/>
      <c r="D241" s="44" t="n"/>
      <c r="E241" s="30" t="n"/>
      <c r="F241" s="27" t="n"/>
      <c r="G241" s="31" t="n"/>
      <c r="H241" s="45" t="n"/>
      <c r="I241" s="29">
        <f>IF(OR(B241="Buy",B241="Sell"),D241*E241*IF(EXACT(F241,"GBp"),0.01,1)/IF(G241="",1,G241),"")</f>
        <v/>
      </c>
      <c r="J241" s="45" t="n"/>
      <c r="K241" s="29">
        <f>IF(B241="","",IF(B241="Deposit",J241,IF(B241="Withdrawal",-J241,IF(B241="Buy",-(I241+H241),IF(B241="Sell",I241-H241,IF(B241="Dividend",J241,IF(B241="Fee",-J241,0)))))))</f>
        <v/>
      </c>
      <c r="L241" s="27" t="n"/>
    </row>
    <row r="242">
      <c r="A242" s="43" t="n"/>
      <c r="B242" s="27" t="n"/>
      <c r="C242" s="27" t="n"/>
      <c r="D242" s="44" t="n"/>
      <c r="E242" s="30" t="n"/>
      <c r="F242" s="27" t="n"/>
      <c r="G242" s="31" t="n"/>
      <c r="H242" s="45" t="n"/>
      <c r="I242" s="29">
        <f>IF(OR(B242="Buy",B242="Sell"),D242*E242*IF(EXACT(F242,"GBp"),0.01,1)/IF(G242="",1,G242),"")</f>
        <v/>
      </c>
      <c r="J242" s="45" t="n"/>
      <c r="K242" s="29">
        <f>IF(B242="","",IF(B242="Deposit",J242,IF(B242="Withdrawal",-J242,IF(B242="Buy",-(I242+H242),IF(B242="Sell",I242-H242,IF(B242="Dividend",J242,IF(B242="Fee",-J242,0)))))))</f>
        <v/>
      </c>
      <c r="L242" s="27" t="n"/>
    </row>
    <row r="243">
      <c r="A243" s="43" t="n"/>
      <c r="B243" s="27" t="n"/>
      <c r="C243" s="27" t="n"/>
      <c r="D243" s="44" t="n"/>
      <c r="E243" s="30" t="n"/>
      <c r="F243" s="27" t="n"/>
      <c r="G243" s="31" t="n"/>
      <c r="H243" s="45" t="n"/>
      <c r="I243" s="29">
        <f>IF(OR(B243="Buy",B243="Sell"),D243*E243*IF(EXACT(F243,"GBp"),0.01,1)/IF(G243="",1,G243),"")</f>
        <v/>
      </c>
      <c r="J243" s="45" t="n"/>
      <c r="K243" s="29">
        <f>IF(B243="","",IF(B243="Deposit",J243,IF(B243="Withdrawal",-J243,IF(B243="Buy",-(I243+H243),IF(B243="Sell",I243-H243,IF(B243="Dividend",J243,IF(B243="Fee",-J243,0)))))))</f>
        <v/>
      </c>
      <c r="L243" s="27" t="n"/>
    </row>
    <row r="244">
      <c r="A244" s="43" t="n"/>
      <c r="B244" s="27" t="n"/>
      <c r="C244" s="27" t="n"/>
      <c r="D244" s="44" t="n"/>
      <c r="E244" s="30" t="n"/>
      <c r="F244" s="27" t="n"/>
      <c r="G244" s="31" t="n"/>
      <c r="H244" s="45" t="n"/>
      <c r="I244" s="29">
        <f>IF(OR(B244="Buy",B244="Sell"),D244*E244*IF(EXACT(F244,"GBp"),0.01,1)/IF(G244="",1,G244),"")</f>
        <v/>
      </c>
      <c r="J244" s="45" t="n"/>
      <c r="K244" s="29">
        <f>IF(B244="","",IF(B244="Deposit",J244,IF(B244="Withdrawal",-J244,IF(B244="Buy",-(I244+H244),IF(B244="Sell",I244-H244,IF(B244="Dividend",J244,IF(B244="Fee",-J244,0)))))))</f>
        <v/>
      </c>
      <c r="L244" s="27" t="n"/>
    </row>
    <row r="245">
      <c r="A245" s="43" t="n"/>
      <c r="B245" s="27" t="n"/>
      <c r="C245" s="27" t="n"/>
      <c r="D245" s="44" t="n"/>
      <c r="E245" s="30" t="n"/>
      <c r="F245" s="27" t="n"/>
      <c r="G245" s="31" t="n"/>
      <c r="H245" s="45" t="n"/>
      <c r="I245" s="29">
        <f>IF(OR(B245="Buy",B245="Sell"),D245*E245*IF(EXACT(F245,"GBp"),0.01,1)/IF(G245="",1,G245),"")</f>
        <v/>
      </c>
      <c r="J245" s="45" t="n"/>
      <c r="K245" s="29">
        <f>IF(B245="","",IF(B245="Deposit",J245,IF(B245="Withdrawal",-J245,IF(B245="Buy",-(I245+H245),IF(B245="Sell",I245-H245,IF(B245="Dividend",J245,IF(B245="Fee",-J245,0)))))))</f>
        <v/>
      </c>
      <c r="L245" s="27" t="n"/>
    </row>
    <row r="246">
      <c r="A246" s="43" t="n"/>
      <c r="B246" s="27" t="n"/>
      <c r="C246" s="27" t="n"/>
      <c r="D246" s="44" t="n"/>
      <c r="E246" s="30" t="n"/>
      <c r="F246" s="27" t="n"/>
      <c r="G246" s="31" t="n"/>
      <c r="H246" s="45" t="n"/>
      <c r="I246" s="29">
        <f>IF(OR(B246="Buy",B246="Sell"),D246*E246*IF(EXACT(F246,"GBp"),0.01,1)/IF(G246="",1,G246),"")</f>
        <v/>
      </c>
      <c r="J246" s="45" t="n"/>
      <c r="K246" s="29">
        <f>IF(B246="","",IF(B246="Deposit",J246,IF(B246="Withdrawal",-J246,IF(B246="Buy",-(I246+H246),IF(B246="Sell",I246-H246,IF(B246="Dividend",J246,IF(B246="Fee",-J246,0)))))))</f>
        <v/>
      </c>
      <c r="L246" s="27" t="n"/>
    </row>
    <row r="247">
      <c r="A247" s="43" t="n"/>
      <c r="B247" s="27" t="n"/>
      <c r="C247" s="27" t="n"/>
      <c r="D247" s="44" t="n"/>
      <c r="E247" s="30" t="n"/>
      <c r="F247" s="27" t="n"/>
      <c r="G247" s="31" t="n"/>
      <c r="H247" s="45" t="n"/>
      <c r="I247" s="29">
        <f>IF(OR(B247="Buy",B247="Sell"),D247*E247*IF(EXACT(F247,"GBp"),0.01,1)/IF(G247="",1,G247),"")</f>
        <v/>
      </c>
      <c r="J247" s="45" t="n"/>
      <c r="K247" s="29">
        <f>IF(B247="","",IF(B247="Deposit",J247,IF(B247="Withdrawal",-J247,IF(B247="Buy",-(I247+H247),IF(B247="Sell",I247-H247,IF(B247="Dividend",J247,IF(B247="Fee",-J247,0)))))))</f>
        <v/>
      </c>
      <c r="L247" s="27" t="n"/>
    </row>
    <row r="248">
      <c r="A248" s="43" t="n"/>
      <c r="B248" s="27" t="n"/>
      <c r="C248" s="27" t="n"/>
      <c r="D248" s="44" t="n"/>
      <c r="E248" s="30" t="n"/>
      <c r="F248" s="27" t="n"/>
      <c r="G248" s="31" t="n"/>
      <c r="H248" s="45" t="n"/>
      <c r="I248" s="29">
        <f>IF(OR(B248="Buy",B248="Sell"),D248*E248*IF(EXACT(F248,"GBp"),0.01,1)/IF(G248="",1,G248),"")</f>
        <v/>
      </c>
      <c r="J248" s="45" t="n"/>
      <c r="K248" s="29">
        <f>IF(B248="","",IF(B248="Deposit",J248,IF(B248="Withdrawal",-J248,IF(B248="Buy",-(I248+H248),IF(B248="Sell",I248-H248,IF(B248="Dividend",J248,IF(B248="Fee",-J248,0)))))))</f>
        <v/>
      </c>
      <c r="L248" s="27" t="n"/>
    </row>
    <row r="249">
      <c r="A249" s="43" t="n"/>
      <c r="B249" s="27" t="n"/>
      <c r="C249" s="27" t="n"/>
      <c r="D249" s="44" t="n"/>
      <c r="E249" s="30" t="n"/>
      <c r="F249" s="27" t="n"/>
      <c r="G249" s="31" t="n"/>
      <c r="H249" s="45" t="n"/>
      <c r="I249" s="29">
        <f>IF(OR(B249="Buy",B249="Sell"),D249*E249*IF(EXACT(F249,"GBp"),0.01,1)/IF(G249="",1,G249),"")</f>
        <v/>
      </c>
      <c r="J249" s="45" t="n"/>
      <c r="K249" s="29">
        <f>IF(B249="","",IF(B249="Deposit",J249,IF(B249="Withdrawal",-J249,IF(B249="Buy",-(I249+H249),IF(B249="Sell",I249-H249,IF(B249="Dividend",J249,IF(B249="Fee",-J249,0)))))))</f>
        <v/>
      </c>
      <c r="L249" s="27" t="n"/>
    </row>
    <row r="250">
      <c r="A250" s="43" t="n"/>
      <c r="B250" s="27" t="n"/>
      <c r="C250" s="27" t="n"/>
      <c r="D250" s="44" t="n"/>
      <c r="E250" s="30" t="n"/>
      <c r="F250" s="27" t="n"/>
      <c r="G250" s="31" t="n"/>
      <c r="H250" s="45" t="n"/>
      <c r="I250" s="29">
        <f>IF(OR(B250="Buy",B250="Sell"),D250*E250*IF(EXACT(F250,"GBp"),0.01,1)/IF(G250="",1,G250),"")</f>
        <v/>
      </c>
      <c r="J250" s="45" t="n"/>
      <c r="K250" s="29">
        <f>IF(B250="","",IF(B250="Deposit",J250,IF(B250="Withdrawal",-J250,IF(B250="Buy",-(I250+H250),IF(B250="Sell",I250-H250,IF(B250="Dividend",J250,IF(B250="Fee",-J250,0)))))))</f>
        <v/>
      </c>
      <c r="L250" s="27" t="n"/>
    </row>
    <row r="251">
      <c r="A251" s="43" t="n"/>
      <c r="B251" s="27" t="n"/>
      <c r="C251" s="27" t="n"/>
      <c r="D251" s="44" t="n"/>
      <c r="E251" s="30" t="n"/>
      <c r="F251" s="27" t="n"/>
      <c r="G251" s="31" t="n"/>
      <c r="H251" s="45" t="n"/>
      <c r="I251" s="29">
        <f>IF(OR(B251="Buy",B251="Sell"),D251*E251*IF(EXACT(F251,"GBp"),0.01,1)/IF(G251="",1,G251),"")</f>
        <v/>
      </c>
      <c r="J251" s="45" t="n"/>
      <c r="K251" s="29">
        <f>IF(B251="","",IF(B251="Deposit",J251,IF(B251="Withdrawal",-J251,IF(B251="Buy",-(I251+H251),IF(B251="Sell",I251-H251,IF(B251="Dividend",J251,IF(B251="Fee",-J251,0)))))))</f>
        <v/>
      </c>
      <c r="L251" s="27" t="n"/>
    </row>
    <row r="252">
      <c r="A252" s="43" t="n"/>
      <c r="B252" s="27" t="n"/>
      <c r="C252" s="27" t="n"/>
      <c r="D252" s="44" t="n"/>
      <c r="E252" s="30" t="n"/>
      <c r="F252" s="27" t="n"/>
      <c r="G252" s="31" t="n"/>
      <c r="H252" s="45" t="n"/>
      <c r="I252" s="29">
        <f>IF(OR(B252="Buy",B252="Sell"),D252*E252*IF(EXACT(F252,"GBp"),0.01,1)/IF(G252="",1,G252),"")</f>
        <v/>
      </c>
      <c r="J252" s="45" t="n"/>
      <c r="K252" s="29">
        <f>IF(B252="","",IF(B252="Deposit",J252,IF(B252="Withdrawal",-J252,IF(B252="Buy",-(I252+H252),IF(B252="Sell",I252-H252,IF(B252="Dividend",J252,IF(B252="Fee",-J252,0)))))))</f>
        <v/>
      </c>
      <c r="L252" s="27" t="n"/>
    </row>
    <row r="253">
      <c r="A253" s="43" t="n"/>
      <c r="B253" s="27" t="n"/>
      <c r="C253" s="27" t="n"/>
      <c r="D253" s="44" t="n"/>
      <c r="E253" s="30" t="n"/>
      <c r="F253" s="27" t="n"/>
      <c r="G253" s="31" t="n"/>
      <c r="H253" s="45" t="n"/>
      <c r="I253" s="29">
        <f>IF(OR(B253="Buy",B253="Sell"),D253*E253*IF(EXACT(F253,"GBp"),0.01,1)/IF(G253="",1,G253),"")</f>
        <v/>
      </c>
      <c r="J253" s="45" t="n"/>
      <c r="K253" s="29">
        <f>IF(B253="","",IF(B253="Deposit",J253,IF(B253="Withdrawal",-J253,IF(B253="Buy",-(I253+H253),IF(B253="Sell",I253-H253,IF(B253="Dividend",J253,IF(B253="Fee",-J253,0)))))))</f>
        <v/>
      </c>
      <c r="L253" s="27" t="n"/>
    </row>
    <row r="254">
      <c r="A254" s="43" t="n"/>
      <c r="B254" s="27" t="n"/>
      <c r="C254" s="27" t="n"/>
      <c r="D254" s="44" t="n"/>
      <c r="E254" s="30" t="n"/>
      <c r="F254" s="27" t="n"/>
      <c r="G254" s="31" t="n"/>
      <c r="H254" s="45" t="n"/>
      <c r="I254" s="29">
        <f>IF(OR(B254="Buy",B254="Sell"),D254*E254*IF(EXACT(F254,"GBp"),0.01,1)/IF(G254="",1,G254),"")</f>
        <v/>
      </c>
      <c r="J254" s="45" t="n"/>
      <c r="K254" s="29">
        <f>IF(B254="","",IF(B254="Deposit",J254,IF(B254="Withdrawal",-J254,IF(B254="Buy",-(I254+H254),IF(B254="Sell",I254-H254,IF(B254="Dividend",J254,IF(B254="Fee",-J254,0)))))))</f>
        <v/>
      </c>
      <c r="L254" s="27" t="n"/>
    </row>
    <row r="255">
      <c r="A255" s="43" t="n"/>
      <c r="B255" s="27" t="n"/>
      <c r="C255" s="27" t="n"/>
      <c r="D255" s="44" t="n"/>
      <c r="E255" s="30" t="n"/>
      <c r="F255" s="27" t="n"/>
      <c r="G255" s="31" t="n"/>
      <c r="H255" s="45" t="n"/>
      <c r="I255" s="29">
        <f>IF(OR(B255="Buy",B255="Sell"),D255*E255*IF(EXACT(F255,"GBp"),0.01,1)/IF(G255="",1,G255),"")</f>
        <v/>
      </c>
      <c r="J255" s="45" t="n"/>
      <c r="K255" s="29">
        <f>IF(B255="","",IF(B255="Deposit",J255,IF(B255="Withdrawal",-J255,IF(B255="Buy",-(I255+H255),IF(B255="Sell",I255-H255,IF(B255="Dividend",J255,IF(B255="Fee",-J255,0)))))))</f>
        <v/>
      </c>
      <c r="L255" s="27" t="n"/>
    </row>
    <row r="256">
      <c r="A256" s="43" t="n"/>
      <c r="B256" s="27" t="n"/>
      <c r="C256" s="27" t="n"/>
      <c r="D256" s="44" t="n"/>
      <c r="E256" s="30" t="n"/>
      <c r="F256" s="27" t="n"/>
      <c r="G256" s="31" t="n"/>
      <c r="H256" s="45" t="n"/>
      <c r="I256" s="29">
        <f>IF(OR(B256="Buy",B256="Sell"),D256*E256*IF(EXACT(F256,"GBp"),0.01,1)/IF(G256="",1,G256),"")</f>
        <v/>
      </c>
      <c r="J256" s="45" t="n"/>
      <c r="K256" s="29">
        <f>IF(B256="","",IF(B256="Deposit",J256,IF(B256="Withdrawal",-J256,IF(B256="Buy",-(I256+H256),IF(B256="Sell",I256-H256,IF(B256="Dividend",J256,IF(B256="Fee",-J256,0)))))))</f>
        <v/>
      </c>
      <c r="L256" s="27" t="n"/>
    </row>
    <row r="257">
      <c r="A257" s="43" t="n"/>
      <c r="B257" s="27" t="n"/>
      <c r="C257" s="27" t="n"/>
      <c r="D257" s="44" t="n"/>
      <c r="E257" s="30" t="n"/>
      <c r="F257" s="27" t="n"/>
      <c r="G257" s="31" t="n"/>
      <c r="H257" s="45" t="n"/>
      <c r="I257" s="29">
        <f>IF(OR(B257="Buy",B257="Sell"),D257*E257*IF(EXACT(F257,"GBp"),0.01,1)/IF(G257="",1,G257),"")</f>
        <v/>
      </c>
      <c r="J257" s="45" t="n"/>
      <c r="K257" s="29">
        <f>IF(B257="","",IF(B257="Deposit",J257,IF(B257="Withdrawal",-J257,IF(B257="Buy",-(I257+H257),IF(B257="Sell",I257-H257,IF(B257="Dividend",J257,IF(B257="Fee",-J257,0)))))))</f>
        <v/>
      </c>
      <c r="L257" s="27" t="n"/>
    </row>
    <row r="258">
      <c r="A258" s="43" t="n"/>
      <c r="B258" s="27" t="n"/>
      <c r="C258" s="27" t="n"/>
      <c r="D258" s="44" t="n"/>
      <c r="E258" s="30" t="n"/>
      <c r="F258" s="27" t="n"/>
      <c r="G258" s="31" t="n"/>
      <c r="H258" s="45" t="n"/>
      <c r="I258" s="29">
        <f>IF(OR(B258="Buy",B258="Sell"),D258*E258*IF(EXACT(F258,"GBp"),0.01,1)/IF(G258="",1,G258),"")</f>
        <v/>
      </c>
      <c r="J258" s="45" t="n"/>
      <c r="K258" s="29">
        <f>IF(B258="","",IF(B258="Deposit",J258,IF(B258="Withdrawal",-J258,IF(B258="Buy",-(I258+H258),IF(B258="Sell",I258-H258,IF(B258="Dividend",J258,IF(B258="Fee",-J258,0)))))))</f>
        <v/>
      </c>
      <c r="L258" s="27" t="n"/>
    </row>
    <row r="259">
      <c r="A259" s="43" t="n"/>
      <c r="B259" s="27" t="n"/>
      <c r="C259" s="27" t="n"/>
      <c r="D259" s="44" t="n"/>
      <c r="E259" s="30" t="n"/>
      <c r="F259" s="27" t="n"/>
      <c r="G259" s="31" t="n"/>
      <c r="H259" s="45" t="n"/>
      <c r="I259" s="29">
        <f>IF(OR(B259="Buy",B259="Sell"),D259*E259*IF(EXACT(F259,"GBp"),0.01,1)/IF(G259="",1,G259),"")</f>
        <v/>
      </c>
      <c r="J259" s="45" t="n"/>
      <c r="K259" s="29">
        <f>IF(B259="","",IF(B259="Deposit",J259,IF(B259="Withdrawal",-J259,IF(B259="Buy",-(I259+H259),IF(B259="Sell",I259-H259,IF(B259="Dividend",J259,IF(B259="Fee",-J259,0)))))))</f>
        <v/>
      </c>
      <c r="L259" s="27" t="n"/>
    </row>
    <row r="260">
      <c r="A260" s="43" t="n"/>
      <c r="B260" s="27" t="n"/>
      <c r="C260" s="27" t="n"/>
      <c r="D260" s="44" t="n"/>
      <c r="E260" s="30" t="n"/>
      <c r="F260" s="27" t="n"/>
      <c r="G260" s="31" t="n"/>
      <c r="H260" s="45" t="n"/>
      <c r="I260" s="29">
        <f>IF(OR(B260="Buy",B260="Sell"),D260*E260*IF(EXACT(F260,"GBp"),0.01,1)/IF(G260="",1,G260),"")</f>
        <v/>
      </c>
      <c r="J260" s="45" t="n"/>
      <c r="K260" s="29">
        <f>IF(B260="","",IF(B260="Deposit",J260,IF(B260="Withdrawal",-J260,IF(B260="Buy",-(I260+H260),IF(B260="Sell",I260-H260,IF(B260="Dividend",J260,IF(B260="Fee",-J260,0)))))))</f>
        <v/>
      </c>
      <c r="L260" s="27" t="n"/>
    </row>
    <row r="261">
      <c r="A261" s="43" t="n"/>
      <c r="B261" s="27" t="n"/>
      <c r="C261" s="27" t="n"/>
      <c r="D261" s="44" t="n"/>
      <c r="E261" s="30" t="n"/>
      <c r="F261" s="27" t="n"/>
      <c r="G261" s="31" t="n"/>
      <c r="H261" s="45" t="n"/>
      <c r="I261" s="29">
        <f>IF(OR(B261="Buy",B261="Sell"),D261*E261*IF(EXACT(F261,"GBp"),0.01,1)/IF(G261="",1,G261),"")</f>
        <v/>
      </c>
      <c r="J261" s="45" t="n"/>
      <c r="K261" s="29">
        <f>IF(B261="","",IF(B261="Deposit",J261,IF(B261="Withdrawal",-J261,IF(B261="Buy",-(I261+H261),IF(B261="Sell",I261-H261,IF(B261="Dividend",J261,IF(B261="Fee",-J261,0)))))))</f>
        <v/>
      </c>
      <c r="L261" s="27" t="n"/>
    </row>
    <row r="262">
      <c r="A262" s="43" t="n"/>
      <c r="B262" s="27" t="n"/>
      <c r="C262" s="27" t="n"/>
      <c r="D262" s="44" t="n"/>
      <c r="E262" s="30" t="n"/>
      <c r="F262" s="27" t="n"/>
      <c r="G262" s="31" t="n"/>
      <c r="H262" s="45" t="n"/>
      <c r="I262" s="29">
        <f>IF(OR(B262="Buy",B262="Sell"),D262*E262*IF(EXACT(F262,"GBp"),0.01,1)/IF(G262="",1,G262),"")</f>
        <v/>
      </c>
      <c r="J262" s="45" t="n"/>
      <c r="K262" s="29">
        <f>IF(B262="","",IF(B262="Deposit",J262,IF(B262="Withdrawal",-J262,IF(B262="Buy",-(I262+H262),IF(B262="Sell",I262-H262,IF(B262="Dividend",J262,IF(B262="Fee",-J262,0)))))))</f>
        <v/>
      </c>
      <c r="L262" s="27" t="n"/>
    </row>
    <row r="263">
      <c r="A263" s="43" t="n"/>
      <c r="B263" s="27" t="n"/>
      <c r="C263" s="27" t="n"/>
      <c r="D263" s="44" t="n"/>
      <c r="E263" s="30" t="n"/>
      <c r="F263" s="27" t="n"/>
      <c r="G263" s="31" t="n"/>
      <c r="H263" s="45" t="n"/>
      <c r="I263" s="29">
        <f>IF(OR(B263="Buy",B263="Sell"),D263*E263*IF(EXACT(F263,"GBp"),0.01,1)/IF(G263="",1,G263),"")</f>
        <v/>
      </c>
      <c r="J263" s="45" t="n"/>
      <c r="K263" s="29">
        <f>IF(B263="","",IF(B263="Deposit",J263,IF(B263="Withdrawal",-J263,IF(B263="Buy",-(I263+H263),IF(B263="Sell",I263-H263,IF(B263="Dividend",J263,IF(B263="Fee",-J263,0)))))))</f>
        <v/>
      </c>
      <c r="L263" s="27" t="n"/>
    </row>
    <row r="264">
      <c r="A264" s="43" t="n"/>
      <c r="B264" s="27" t="n"/>
      <c r="C264" s="27" t="n"/>
      <c r="D264" s="44" t="n"/>
      <c r="E264" s="30" t="n"/>
      <c r="F264" s="27" t="n"/>
      <c r="G264" s="31" t="n"/>
      <c r="H264" s="45" t="n"/>
      <c r="I264" s="29">
        <f>IF(OR(B264="Buy",B264="Sell"),D264*E264*IF(EXACT(F264,"GBp"),0.01,1)/IF(G264="",1,G264),"")</f>
        <v/>
      </c>
      <c r="J264" s="45" t="n"/>
      <c r="K264" s="29">
        <f>IF(B264="","",IF(B264="Deposit",J264,IF(B264="Withdrawal",-J264,IF(B264="Buy",-(I264+H264),IF(B264="Sell",I264-H264,IF(B264="Dividend",J264,IF(B264="Fee",-J264,0)))))))</f>
        <v/>
      </c>
      <c r="L264" s="27" t="n"/>
    </row>
    <row r="265">
      <c r="A265" s="43" t="n"/>
      <c r="B265" s="27" t="n"/>
      <c r="C265" s="27" t="n"/>
      <c r="D265" s="44" t="n"/>
      <c r="E265" s="30" t="n"/>
      <c r="F265" s="27" t="n"/>
      <c r="G265" s="31" t="n"/>
      <c r="H265" s="45" t="n"/>
      <c r="I265" s="29">
        <f>IF(OR(B265="Buy",B265="Sell"),D265*E265*IF(EXACT(F265,"GBp"),0.01,1)/IF(G265="",1,G265),"")</f>
        <v/>
      </c>
      <c r="J265" s="45" t="n"/>
      <c r="K265" s="29">
        <f>IF(B265="","",IF(B265="Deposit",J265,IF(B265="Withdrawal",-J265,IF(B265="Buy",-(I265+H265),IF(B265="Sell",I265-H265,IF(B265="Dividend",J265,IF(B265="Fee",-J265,0)))))))</f>
        <v/>
      </c>
      <c r="L265" s="27" t="n"/>
    </row>
    <row r="266">
      <c r="A266" s="43" t="n"/>
      <c r="B266" s="27" t="n"/>
      <c r="C266" s="27" t="n"/>
      <c r="D266" s="44" t="n"/>
      <c r="E266" s="30" t="n"/>
      <c r="F266" s="27" t="n"/>
      <c r="G266" s="31" t="n"/>
      <c r="H266" s="45" t="n"/>
      <c r="I266" s="29">
        <f>IF(OR(B266="Buy",B266="Sell"),D266*E266*IF(EXACT(F266,"GBp"),0.01,1)/IF(G266="",1,G266),"")</f>
        <v/>
      </c>
      <c r="J266" s="45" t="n"/>
      <c r="K266" s="29">
        <f>IF(B266="","",IF(B266="Deposit",J266,IF(B266="Withdrawal",-J266,IF(B266="Buy",-(I266+H266),IF(B266="Sell",I266-H266,IF(B266="Dividend",J266,IF(B266="Fee",-J266,0)))))))</f>
        <v/>
      </c>
      <c r="L266" s="27" t="n"/>
    </row>
    <row r="267">
      <c r="A267" s="43" t="n"/>
      <c r="B267" s="27" t="n"/>
      <c r="C267" s="27" t="n"/>
      <c r="D267" s="44" t="n"/>
      <c r="E267" s="30" t="n"/>
      <c r="F267" s="27" t="n"/>
      <c r="G267" s="31" t="n"/>
      <c r="H267" s="45" t="n"/>
      <c r="I267" s="29">
        <f>IF(OR(B267="Buy",B267="Sell"),D267*E267*IF(EXACT(F267,"GBp"),0.01,1)/IF(G267="",1,G267),"")</f>
        <v/>
      </c>
      <c r="J267" s="45" t="n"/>
      <c r="K267" s="29">
        <f>IF(B267="","",IF(B267="Deposit",J267,IF(B267="Withdrawal",-J267,IF(B267="Buy",-(I267+H267),IF(B267="Sell",I267-H267,IF(B267="Dividend",J267,IF(B267="Fee",-J267,0)))))))</f>
        <v/>
      </c>
      <c r="L267" s="27" t="n"/>
    </row>
    <row r="268">
      <c r="A268" s="43" t="n"/>
      <c r="B268" s="27" t="n"/>
      <c r="C268" s="27" t="n"/>
      <c r="D268" s="44" t="n"/>
      <c r="E268" s="30" t="n"/>
      <c r="F268" s="27" t="n"/>
      <c r="G268" s="31" t="n"/>
      <c r="H268" s="45" t="n"/>
      <c r="I268" s="29">
        <f>IF(OR(B268="Buy",B268="Sell"),D268*E268*IF(EXACT(F268,"GBp"),0.01,1)/IF(G268="",1,G268),"")</f>
        <v/>
      </c>
      <c r="J268" s="45" t="n"/>
      <c r="K268" s="29">
        <f>IF(B268="","",IF(B268="Deposit",J268,IF(B268="Withdrawal",-J268,IF(B268="Buy",-(I268+H268),IF(B268="Sell",I268-H268,IF(B268="Dividend",J268,IF(B268="Fee",-J268,0)))))))</f>
        <v/>
      </c>
      <c r="L268" s="27" t="n"/>
    </row>
    <row r="269">
      <c r="A269" s="43" t="n"/>
      <c r="B269" s="27" t="n"/>
      <c r="C269" s="27" t="n"/>
      <c r="D269" s="44" t="n"/>
      <c r="E269" s="30" t="n"/>
      <c r="F269" s="27" t="n"/>
      <c r="G269" s="31" t="n"/>
      <c r="H269" s="45" t="n"/>
      <c r="I269" s="29">
        <f>IF(OR(B269="Buy",B269="Sell"),D269*E269*IF(EXACT(F269,"GBp"),0.01,1)/IF(G269="",1,G269),"")</f>
        <v/>
      </c>
      <c r="J269" s="45" t="n"/>
      <c r="K269" s="29">
        <f>IF(B269="","",IF(B269="Deposit",J269,IF(B269="Withdrawal",-J269,IF(B269="Buy",-(I269+H269),IF(B269="Sell",I269-H269,IF(B269="Dividend",J269,IF(B269="Fee",-J269,0)))))))</f>
        <v/>
      </c>
      <c r="L269" s="27" t="n"/>
    </row>
    <row r="270">
      <c r="A270" s="43" t="n"/>
      <c r="B270" s="27" t="n"/>
      <c r="C270" s="27" t="n"/>
      <c r="D270" s="44" t="n"/>
      <c r="E270" s="30" t="n"/>
      <c r="F270" s="27" t="n"/>
      <c r="G270" s="31" t="n"/>
      <c r="H270" s="45" t="n"/>
      <c r="I270" s="29">
        <f>IF(OR(B270="Buy",B270="Sell"),D270*E270*IF(EXACT(F270,"GBp"),0.01,1)/IF(G270="",1,G270),"")</f>
        <v/>
      </c>
      <c r="J270" s="45" t="n"/>
      <c r="K270" s="29">
        <f>IF(B270="","",IF(B270="Deposit",J270,IF(B270="Withdrawal",-J270,IF(B270="Buy",-(I270+H270),IF(B270="Sell",I270-H270,IF(B270="Dividend",J270,IF(B270="Fee",-J270,0)))))))</f>
        <v/>
      </c>
      <c r="L270" s="27" t="n"/>
    </row>
    <row r="271">
      <c r="A271" s="43" t="n"/>
      <c r="B271" s="27" t="n"/>
      <c r="C271" s="27" t="n"/>
      <c r="D271" s="44" t="n"/>
      <c r="E271" s="30" t="n"/>
      <c r="F271" s="27" t="n"/>
      <c r="G271" s="31" t="n"/>
      <c r="H271" s="45" t="n"/>
      <c r="I271" s="29">
        <f>IF(OR(B271="Buy",B271="Sell"),D271*E271*IF(EXACT(F271,"GBp"),0.01,1)/IF(G271="",1,G271),"")</f>
        <v/>
      </c>
      <c r="J271" s="45" t="n"/>
      <c r="K271" s="29">
        <f>IF(B271="","",IF(B271="Deposit",J271,IF(B271="Withdrawal",-J271,IF(B271="Buy",-(I271+H271),IF(B271="Sell",I271-H271,IF(B271="Dividend",J271,IF(B271="Fee",-J271,0)))))))</f>
        <v/>
      </c>
      <c r="L271" s="27" t="n"/>
    </row>
    <row r="272">
      <c r="A272" s="43" t="n"/>
      <c r="B272" s="27" t="n"/>
      <c r="C272" s="27" t="n"/>
      <c r="D272" s="44" t="n"/>
      <c r="E272" s="30" t="n"/>
      <c r="F272" s="27" t="n"/>
      <c r="G272" s="31" t="n"/>
      <c r="H272" s="45" t="n"/>
      <c r="I272" s="29">
        <f>IF(OR(B272="Buy",B272="Sell"),D272*E272*IF(EXACT(F272,"GBp"),0.01,1)/IF(G272="",1,G272),"")</f>
        <v/>
      </c>
      <c r="J272" s="45" t="n"/>
      <c r="K272" s="29">
        <f>IF(B272="","",IF(B272="Deposit",J272,IF(B272="Withdrawal",-J272,IF(B272="Buy",-(I272+H272),IF(B272="Sell",I272-H272,IF(B272="Dividend",J272,IF(B272="Fee",-J272,0)))))))</f>
        <v/>
      </c>
      <c r="L272" s="27" t="n"/>
    </row>
    <row r="273">
      <c r="A273" s="43" t="n"/>
      <c r="B273" s="27" t="n"/>
      <c r="C273" s="27" t="n"/>
      <c r="D273" s="44" t="n"/>
      <c r="E273" s="30" t="n"/>
      <c r="F273" s="27" t="n"/>
      <c r="G273" s="31" t="n"/>
      <c r="H273" s="45" t="n"/>
      <c r="I273" s="29">
        <f>IF(OR(B273="Buy",B273="Sell"),D273*E273*IF(EXACT(F273,"GBp"),0.01,1)/IF(G273="",1,G273),"")</f>
        <v/>
      </c>
      <c r="J273" s="45" t="n"/>
      <c r="K273" s="29">
        <f>IF(B273="","",IF(B273="Deposit",J273,IF(B273="Withdrawal",-J273,IF(B273="Buy",-(I273+H273),IF(B273="Sell",I273-H273,IF(B273="Dividend",J273,IF(B273="Fee",-J273,0)))))))</f>
        <v/>
      </c>
      <c r="L273" s="27" t="n"/>
    </row>
    <row r="274">
      <c r="A274" s="43" t="n"/>
      <c r="B274" s="27" t="n"/>
      <c r="C274" s="27" t="n"/>
      <c r="D274" s="44" t="n"/>
      <c r="E274" s="30" t="n"/>
      <c r="F274" s="27" t="n"/>
      <c r="G274" s="31" t="n"/>
      <c r="H274" s="45" t="n"/>
      <c r="I274" s="29">
        <f>IF(OR(B274="Buy",B274="Sell"),D274*E274*IF(EXACT(F274,"GBp"),0.01,1)/IF(G274="",1,G274),"")</f>
        <v/>
      </c>
      <c r="J274" s="45" t="n"/>
      <c r="K274" s="29">
        <f>IF(B274="","",IF(B274="Deposit",J274,IF(B274="Withdrawal",-J274,IF(B274="Buy",-(I274+H274),IF(B274="Sell",I274-H274,IF(B274="Dividend",J274,IF(B274="Fee",-J274,0)))))))</f>
        <v/>
      </c>
      <c r="L274" s="27" t="n"/>
    </row>
    <row r="275">
      <c r="A275" s="43" t="n"/>
      <c r="B275" s="27" t="n"/>
      <c r="C275" s="27" t="n"/>
      <c r="D275" s="44" t="n"/>
      <c r="E275" s="30" t="n"/>
      <c r="F275" s="27" t="n"/>
      <c r="G275" s="31" t="n"/>
      <c r="H275" s="45" t="n"/>
      <c r="I275" s="29">
        <f>IF(OR(B275="Buy",B275="Sell"),D275*E275*IF(EXACT(F275,"GBp"),0.01,1)/IF(G275="",1,G275),"")</f>
        <v/>
      </c>
      <c r="J275" s="45" t="n"/>
      <c r="K275" s="29">
        <f>IF(B275="","",IF(B275="Deposit",J275,IF(B275="Withdrawal",-J275,IF(B275="Buy",-(I275+H275),IF(B275="Sell",I275-H275,IF(B275="Dividend",J275,IF(B275="Fee",-J275,0)))))))</f>
        <v/>
      </c>
      <c r="L275" s="27" t="n"/>
    </row>
    <row r="276">
      <c r="A276" s="43" t="n"/>
      <c r="B276" s="27" t="n"/>
      <c r="C276" s="27" t="n"/>
      <c r="D276" s="44" t="n"/>
      <c r="E276" s="30" t="n"/>
      <c r="F276" s="27" t="n"/>
      <c r="G276" s="31" t="n"/>
      <c r="H276" s="45" t="n"/>
      <c r="I276" s="29">
        <f>IF(OR(B276="Buy",B276="Sell"),D276*E276*IF(EXACT(F276,"GBp"),0.01,1)/IF(G276="",1,G276),"")</f>
        <v/>
      </c>
      <c r="J276" s="45" t="n"/>
      <c r="K276" s="29">
        <f>IF(B276="","",IF(B276="Deposit",J276,IF(B276="Withdrawal",-J276,IF(B276="Buy",-(I276+H276),IF(B276="Sell",I276-H276,IF(B276="Dividend",J276,IF(B276="Fee",-J276,0)))))))</f>
        <v/>
      </c>
      <c r="L276" s="27" t="n"/>
    </row>
    <row r="277">
      <c r="A277" s="43" t="n"/>
      <c r="B277" s="27" t="n"/>
      <c r="C277" s="27" t="n"/>
      <c r="D277" s="44" t="n"/>
      <c r="E277" s="30" t="n"/>
      <c r="F277" s="27" t="n"/>
      <c r="G277" s="31" t="n"/>
      <c r="H277" s="45" t="n"/>
      <c r="I277" s="29">
        <f>IF(OR(B277="Buy",B277="Sell"),D277*E277*IF(EXACT(F277,"GBp"),0.01,1)/IF(G277="",1,G277),"")</f>
        <v/>
      </c>
      <c r="J277" s="45" t="n"/>
      <c r="K277" s="29">
        <f>IF(B277="","",IF(B277="Deposit",J277,IF(B277="Withdrawal",-J277,IF(B277="Buy",-(I277+H277),IF(B277="Sell",I277-H277,IF(B277="Dividend",J277,IF(B277="Fee",-J277,0)))))))</f>
        <v/>
      </c>
      <c r="L277" s="27" t="n"/>
    </row>
    <row r="278">
      <c r="A278" s="43" t="n"/>
      <c r="B278" s="27" t="n"/>
      <c r="C278" s="27" t="n"/>
      <c r="D278" s="44" t="n"/>
      <c r="E278" s="30" t="n"/>
      <c r="F278" s="27" t="n"/>
      <c r="G278" s="31" t="n"/>
      <c r="H278" s="45" t="n"/>
      <c r="I278" s="29">
        <f>IF(OR(B278="Buy",B278="Sell"),D278*E278*IF(EXACT(F278,"GBp"),0.01,1)/IF(G278="",1,G278),"")</f>
        <v/>
      </c>
      <c r="J278" s="45" t="n"/>
      <c r="K278" s="29">
        <f>IF(B278="","",IF(B278="Deposit",J278,IF(B278="Withdrawal",-J278,IF(B278="Buy",-(I278+H278),IF(B278="Sell",I278-H278,IF(B278="Dividend",J278,IF(B278="Fee",-J278,0)))))))</f>
        <v/>
      </c>
      <c r="L278" s="27" t="n"/>
    </row>
    <row r="279">
      <c r="A279" s="43" t="n"/>
      <c r="B279" s="27" t="n"/>
      <c r="C279" s="27" t="n"/>
      <c r="D279" s="44" t="n"/>
      <c r="E279" s="30" t="n"/>
      <c r="F279" s="27" t="n"/>
      <c r="G279" s="31" t="n"/>
      <c r="H279" s="45" t="n"/>
      <c r="I279" s="29">
        <f>IF(OR(B279="Buy",B279="Sell"),D279*E279*IF(EXACT(F279,"GBp"),0.01,1)/IF(G279="",1,G279),"")</f>
        <v/>
      </c>
      <c r="J279" s="45" t="n"/>
      <c r="K279" s="29">
        <f>IF(B279="","",IF(B279="Deposit",J279,IF(B279="Withdrawal",-J279,IF(B279="Buy",-(I279+H279),IF(B279="Sell",I279-H279,IF(B279="Dividend",J279,IF(B279="Fee",-J279,0)))))))</f>
        <v/>
      </c>
      <c r="L279" s="27" t="n"/>
    </row>
    <row r="280">
      <c r="A280" s="43" t="n"/>
      <c r="B280" s="27" t="n"/>
      <c r="C280" s="27" t="n"/>
      <c r="D280" s="44" t="n"/>
      <c r="E280" s="30" t="n"/>
      <c r="F280" s="27" t="n"/>
      <c r="G280" s="31" t="n"/>
      <c r="H280" s="45" t="n"/>
      <c r="I280" s="29">
        <f>IF(OR(B280="Buy",B280="Sell"),D280*E280*IF(EXACT(F280,"GBp"),0.01,1)/IF(G280="",1,G280),"")</f>
        <v/>
      </c>
      <c r="J280" s="45" t="n"/>
      <c r="K280" s="29">
        <f>IF(B280="","",IF(B280="Deposit",J280,IF(B280="Withdrawal",-J280,IF(B280="Buy",-(I280+H280),IF(B280="Sell",I280-H280,IF(B280="Dividend",J280,IF(B280="Fee",-J280,0)))))))</f>
        <v/>
      </c>
      <c r="L280" s="27" t="n"/>
    </row>
    <row r="281">
      <c r="A281" s="43" t="n"/>
      <c r="B281" s="27" t="n"/>
      <c r="C281" s="27" t="n"/>
      <c r="D281" s="44" t="n"/>
      <c r="E281" s="30" t="n"/>
      <c r="F281" s="27" t="n"/>
      <c r="G281" s="31" t="n"/>
      <c r="H281" s="45" t="n"/>
      <c r="I281" s="29">
        <f>IF(OR(B281="Buy",B281="Sell"),D281*E281*IF(EXACT(F281,"GBp"),0.01,1)/IF(G281="",1,G281),"")</f>
        <v/>
      </c>
      <c r="J281" s="45" t="n"/>
      <c r="K281" s="29">
        <f>IF(B281="","",IF(B281="Deposit",J281,IF(B281="Withdrawal",-J281,IF(B281="Buy",-(I281+H281),IF(B281="Sell",I281-H281,IF(B281="Dividend",J281,IF(B281="Fee",-J281,0)))))))</f>
        <v/>
      </c>
      <c r="L281" s="27" t="n"/>
    </row>
    <row r="282">
      <c r="A282" s="43" t="n"/>
      <c r="B282" s="27" t="n"/>
      <c r="C282" s="27" t="n"/>
      <c r="D282" s="44" t="n"/>
      <c r="E282" s="30" t="n"/>
      <c r="F282" s="27" t="n"/>
      <c r="G282" s="31" t="n"/>
      <c r="H282" s="45" t="n"/>
      <c r="I282" s="29">
        <f>IF(OR(B282="Buy",B282="Sell"),D282*E282*IF(EXACT(F282,"GBp"),0.01,1)/IF(G282="",1,G282),"")</f>
        <v/>
      </c>
      <c r="J282" s="45" t="n"/>
      <c r="K282" s="29">
        <f>IF(B282="","",IF(B282="Deposit",J282,IF(B282="Withdrawal",-J282,IF(B282="Buy",-(I282+H282),IF(B282="Sell",I282-H282,IF(B282="Dividend",J282,IF(B282="Fee",-J282,0)))))))</f>
        <v/>
      </c>
      <c r="L282" s="27" t="n"/>
    </row>
    <row r="283">
      <c r="A283" s="43" t="n"/>
      <c r="B283" s="27" t="n"/>
      <c r="C283" s="27" t="n"/>
      <c r="D283" s="44" t="n"/>
      <c r="E283" s="30" t="n"/>
      <c r="F283" s="27" t="n"/>
      <c r="G283" s="31" t="n"/>
      <c r="H283" s="45" t="n"/>
      <c r="I283" s="29">
        <f>IF(OR(B283="Buy",B283="Sell"),D283*E283*IF(EXACT(F283,"GBp"),0.01,1)/IF(G283="",1,G283),"")</f>
        <v/>
      </c>
      <c r="J283" s="45" t="n"/>
      <c r="K283" s="29">
        <f>IF(B283="","",IF(B283="Deposit",J283,IF(B283="Withdrawal",-J283,IF(B283="Buy",-(I283+H283),IF(B283="Sell",I283-H283,IF(B283="Dividend",J283,IF(B283="Fee",-J283,0)))))))</f>
        <v/>
      </c>
      <c r="L283" s="27" t="n"/>
    </row>
    <row r="284">
      <c r="A284" s="43" t="n"/>
      <c r="B284" s="27" t="n"/>
      <c r="C284" s="27" t="n"/>
      <c r="D284" s="44" t="n"/>
      <c r="E284" s="30" t="n"/>
      <c r="F284" s="27" t="n"/>
      <c r="G284" s="31" t="n"/>
      <c r="H284" s="45" t="n"/>
      <c r="I284" s="29">
        <f>IF(OR(B284="Buy",B284="Sell"),D284*E284*IF(EXACT(F284,"GBp"),0.01,1)/IF(G284="",1,G284),"")</f>
        <v/>
      </c>
      <c r="J284" s="45" t="n"/>
      <c r="K284" s="29">
        <f>IF(B284="","",IF(B284="Deposit",J284,IF(B284="Withdrawal",-J284,IF(B284="Buy",-(I284+H284),IF(B284="Sell",I284-H284,IF(B284="Dividend",J284,IF(B284="Fee",-J284,0)))))))</f>
        <v/>
      </c>
      <c r="L284" s="27" t="n"/>
    </row>
    <row r="285">
      <c r="A285" s="43" t="n"/>
      <c r="B285" s="27" t="n"/>
      <c r="C285" s="27" t="n"/>
      <c r="D285" s="44" t="n"/>
      <c r="E285" s="30" t="n"/>
      <c r="F285" s="27" t="n"/>
      <c r="G285" s="31" t="n"/>
      <c r="H285" s="45" t="n"/>
      <c r="I285" s="29">
        <f>IF(OR(B285="Buy",B285="Sell"),D285*E285*IF(EXACT(F285,"GBp"),0.01,1)/IF(G285="",1,G285),"")</f>
        <v/>
      </c>
      <c r="J285" s="45" t="n"/>
      <c r="K285" s="29">
        <f>IF(B285="","",IF(B285="Deposit",J285,IF(B285="Withdrawal",-J285,IF(B285="Buy",-(I285+H285),IF(B285="Sell",I285-H285,IF(B285="Dividend",J285,IF(B285="Fee",-J285,0)))))))</f>
        <v/>
      </c>
      <c r="L285" s="27" t="n"/>
    </row>
    <row r="286">
      <c r="A286" s="43" t="n"/>
      <c r="B286" s="27" t="n"/>
      <c r="C286" s="27" t="n"/>
      <c r="D286" s="44" t="n"/>
      <c r="E286" s="30" t="n"/>
      <c r="F286" s="27" t="n"/>
      <c r="G286" s="31" t="n"/>
      <c r="H286" s="45" t="n"/>
      <c r="I286" s="29">
        <f>IF(OR(B286="Buy",B286="Sell"),D286*E286*IF(EXACT(F286,"GBp"),0.01,1)/IF(G286="",1,G286),"")</f>
        <v/>
      </c>
      <c r="J286" s="45" t="n"/>
      <c r="K286" s="29">
        <f>IF(B286="","",IF(B286="Deposit",J286,IF(B286="Withdrawal",-J286,IF(B286="Buy",-(I286+H286),IF(B286="Sell",I286-H286,IF(B286="Dividend",J286,IF(B286="Fee",-J286,0)))))))</f>
        <v/>
      </c>
      <c r="L286" s="27" t="n"/>
    </row>
    <row r="287">
      <c r="A287" s="43" t="n"/>
      <c r="B287" s="27" t="n"/>
      <c r="C287" s="27" t="n"/>
      <c r="D287" s="44" t="n"/>
      <c r="E287" s="30" t="n"/>
      <c r="F287" s="27" t="n"/>
      <c r="G287" s="31" t="n"/>
      <c r="H287" s="45" t="n"/>
      <c r="I287" s="29">
        <f>IF(OR(B287="Buy",B287="Sell"),D287*E287*IF(EXACT(F287,"GBp"),0.01,1)/IF(G287="",1,G287),"")</f>
        <v/>
      </c>
      <c r="J287" s="45" t="n"/>
      <c r="K287" s="29">
        <f>IF(B287="","",IF(B287="Deposit",J287,IF(B287="Withdrawal",-J287,IF(B287="Buy",-(I287+H287),IF(B287="Sell",I287-H287,IF(B287="Dividend",J287,IF(B287="Fee",-J287,0)))))))</f>
        <v/>
      </c>
      <c r="L287" s="27" t="n"/>
    </row>
    <row r="288">
      <c r="A288" s="43" t="n"/>
      <c r="B288" s="27" t="n"/>
      <c r="C288" s="27" t="n"/>
      <c r="D288" s="44" t="n"/>
      <c r="E288" s="30" t="n"/>
      <c r="F288" s="27" t="n"/>
      <c r="G288" s="31" t="n"/>
      <c r="H288" s="45" t="n"/>
      <c r="I288" s="29">
        <f>IF(OR(B288="Buy",B288="Sell"),D288*E288*IF(EXACT(F288,"GBp"),0.01,1)/IF(G288="",1,G288),"")</f>
        <v/>
      </c>
      <c r="J288" s="45" t="n"/>
      <c r="K288" s="29">
        <f>IF(B288="","",IF(B288="Deposit",J288,IF(B288="Withdrawal",-J288,IF(B288="Buy",-(I288+H288),IF(B288="Sell",I288-H288,IF(B288="Dividend",J288,IF(B288="Fee",-J288,0)))))))</f>
        <v/>
      </c>
      <c r="L288" s="27" t="n"/>
    </row>
    <row r="289">
      <c r="A289" s="43" t="n"/>
      <c r="B289" s="27" t="n"/>
      <c r="C289" s="27" t="n"/>
      <c r="D289" s="44" t="n"/>
      <c r="E289" s="30" t="n"/>
      <c r="F289" s="27" t="n"/>
      <c r="G289" s="31" t="n"/>
      <c r="H289" s="45" t="n"/>
      <c r="I289" s="29">
        <f>IF(OR(B289="Buy",B289="Sell"),D289*E289*IF(EXACT(F289,"GBp"),0.01,1)/IF(G289="",1,G289),"")</f>
        <v/>
      </c>
      <c r="J289" s="45" t="n"/>
      <c r="K289" s="29">
        <f>IF(B289="","",IF(B289="Deposit",J289,IF(B289="Withdrawal",-J289,IF(B289="Buy",-(I289+H289),IF(B289="Sell",I289-H289,IF(B289="Dividend",J289,IF(B289="Fee",-J289,0)))))))</f>
        <v/>
      </c>
      <c r="L289" s="27" t="n"/>
    </row>
    <row r="290">
      <c r="A290" s="43" t="n"/>
      <c r="B290" s="27" t="n"/>
      <c r="C290" s="27" t="n"/>
      <c r="D290" s="44" t="n"/>
      <c r="E290" s="30" t="n"/>
      <c r="F290" s="27" t="n"/>
      <c r="G290" s="31" t="n"/>
      <c r="H290" s="45" t="n"/>
      <c r="I290" s="29">
        <f>IF(OR(B290="Buy",B290="Sell"),D290*E290*IF(EXACT(F290,"GBp"),0.01,1)/IF(G290="",1,G290),"")</f>
        <v/>
      </c>
      <c r="J290" s="45" t="n"/>
      <c r="K290" s="29">
        <f>IF(B290="","",IF(B290="Deposit",J290,IF(B290="Withdrawal",-J290,IF(B290="Buy",-(I290+H290),IF(B290="Sell",I290-H290,IF(B290="Dividend",J290,IF(B290="Fee",-J290,0)))))))</f>
        <v/>
      </c>
      <c r="L290" s="27" t="n"/>
    </row>
    <row r="291">
      <c r="A291" s="43" t="n"/>
      <c r="B291" s="27" t="n"/>
      <c r="C291" s="27" t="n"/>
      <c r="D291" s="44" t="n"/>
      <c r="E291" s="30" t="n"/>
      <c r="F291" s="27" t="n"/>
      <c r="G291" s="31" t="n"/>
      <c r="H291" s="45" t="n"/>
      <c r="I291" s="29">
        <f>IF(OR(B291="Buy",B291="Sell"),D291*E291*IF(EXACT(F291,"GBp"),0.01,1)/IF(G291="",1,G291),"")</f>
        <v/>
      </c>
      <c r="J291" s="45" t="n"/>
      <c r="K291" s="29">
        <f>IF(B291="","",IF(B291="Deposit",J291,IF(B291="Withdrawal",-J291,IF(B291="Buy",-(I291+H291),IF(B291="Sell",I291-H291,IF(B291="Dividend",J291,IF(B291="Fee",-J291,0)))))))</f>
        <v/>
      </c>
      <c r="L291" s="27" t="n"/>
    </row>
    <row r="292">
      <c r="A292" s="43" t="n"/>
      <c r="B292" s="27" t="n"/>
      <c r="C292" s="27" t="n"/>
      <c r="D292" s="44" t="n"/>
      <c r="E292" s="30" t="n"/>
      <c r="F292" s="27" t="n"/>
      <c r="G292" s="31" t="n"/>
      <c r="H292" s="45" t="n"/>
      <c r="I292" s="29">
        <f>IF(OR(B292="Buy",B292="Sell"),D292*E292*IF(EXACT(F292,"GBp"),0.01,1)/IF(G292="",1,G292),"")</f>
        <v/>
      </c>
      <c r="J292" s="45" t="n"/>
      <c r="K292" s="29">
        <f>IF(B292="","",IF(B292="Deposit",J292,IF(B292="Withdrawal",-J292,IF(B292="Buy",-(I292+H292),IF(B292="Sell",I292-H292,IF(B292="Dividend",J292,IF(B292="Fee",-J292,0)))))))</f>
        <v/>
      </c>
      <c r="L292" s="27" t="n"/>
    </row>
    <row r="293">
      <c r="A293" s="43" t="n"/>
      <c r="B293" s="27" t="n"/>
      <c r="C293" s="27" t="n"/>
      <c r="D293" s="44" t="n"/>
      <c r="E293" s="30" t="n"/>
      <c r="F293" s="27" t="n"/>
      <c r="G293" s="31" t="n"/>
      <c r="H293" s="45" t="n"/>
      <c r="I293" s="29">
        <f>IF(OR(B293="Buy",B293="Sell"),D293*E293*IF(EXACT(F293,"GBp"),0.01,1)/IF(G293="",1,G293),"")</f>
        <v/>
      </c>
      <c r="J293" s="45" t="n"/>
      <c r="K293" s="29">
        <f>IF(B293="","",IF(B293="Deposit",J293,IF(B293="Withdrawal",-J293,IF(B293="Buy",-(I293+H293),IF(B293="Sell",I293-H293,IF(B293="Dividend",J293,IF(B293="Fee",-J293,0)))))))</f>
        <v/>
      </c>
      <c r="L293" s="27" t="n"/>
    </row>
    <row r="294">
      <c r="A294" s="43" t="n"/>
      <c r="B294" s="27" t="n"/>
      <c r="C294" s="27" t="n"/>
      <c r="D294" s="44" t="n"/>
      <c r="E294" s="30" t="n"/>
      <c r="F294" s="27" t="n"/>
      <c r="G294" s="31" t="n"/>
      <c r="H294" s="45" t="n"/>
      <c r="I294" s="29">
        <f>IF(OR(B294="Buy",B294="Sell"),D294*E294*IF(EXACT(F294,"GBp"),0.01,1)/IF(G294="",1,G294),"")</f>
        <v/>
      </c>
      <c r="J294" s="45" t="n"/>
      <c r="K294" s="29">
        <f>IF(B294="","",IF(B294="Deposit",J294,IF(B294="Withdrawal",-J294,IF(B294="Buy",-(I294+H294),IF(B294="Sell",I294-H294,IF(B294="Dividend",J294,IF(B294="Fee",-J294,0)))))))</f>
        <v/>
      </c>
      <c r="L294" s="27" t="n"/>
    </row>
    <row r="295">
      <c r="A295" s="43" t="n"/>
      <c r="B295" s="27" t="n"/>
      <c r="C295" s="27" t="n"/>
      <c r="D295" s="44" t="n"/>
      <c r="E295" s="30" t="n"/>
      <c r="F295" s="27" t="n"/>
      <c r="G295" s="31" t="n"/>
      <c r="H295" s="45" t="n"/>
      <c r="I295" s="29">
        <f>IF(OR(B295="Buy",B295="Sell"),D295*E295*IF(EXACT(F295,"GBp"),0.01,1)/IF(G295="",1,G295),"")</f>
        <v/>
      </c>
      <c r="J295" s="45" t="n"/>
      <c r="K295" s="29">
        <f>IF(B295="","",IF(B295="Deposit",J295,IF(B295="Withdrawal",-J295,IF(B295="Buy",-(I295+H295),IF(B295="Sell",I295-H295,IF(B295="Dividend",J295,IF(B295="Fee",-J295,0)))))))</f>
        <v/>
      </c>
      <c r="L295" s="27" t="n"/>
    </row>
    <row r="296">
      <c r="A296" s="43" t="n"/>
      <c r="B296" s="27" t="n"/>
      <c r="C296" s="27" t="n"/>
      <c r="D296" s="44" t="n"/>
      <c r="E296" s="30" t="n"/>
      <c r="F296" s="27" t="n"/>
      <c r="G296" s="31" t="n"/>
      <c r="H296" s="45" t="n"/>
      <c r="I296" s="29">
        <f>IF(OR(B296="Buy",B296="Sell"),D296*E296*IF(EXACT(F296,"GBp"),0.01,1)/IF(G296="",1,G296),"")</f>
        <v/>
      </c>
      <c r="J296" s="45" t="n"/>
      <c r="K296" s="29">
        <f>IF(B296="","",IF(B296="Deposit",J296,IF(B296="Withdrawal",-J296,IF(B296="Buy",-(I296+H296),IF(B296="Sell",I296-H296,IF(B296="Dividend",J296,IF(B296="Fee",-J296,0)))))))</f>
        <v/>
      </c>
      <c r="L296" s="27" t="n"/>
    </row>
    <row r="297">
      <c r="A297" s="43" t="n"/>
      <c r="B297" s="27" t="n"/>
      <c r="C297" s="27" t="n"/>
      <c r="D297" s="44" t="n"/>
      <c r="E297" s="30" t="n"/>
      <c r="F297" s="27" t="n"/>
      <c r="G297" s="31" t="n"/>
      <c r="H297" s="45" t="n"/>
      <c r="I297" s="29">
        <f>IF(OR(B297="Buy",B297="Sell"),D297*E297*IF(EXACT(F297,"GBp"),0.01,1)/IF(G297="",1,G297),"")</f>
        <v/>
      </c>
      <c r="J297" s="45" t="n"/>
      <c r="K297" s="29">
        <f>IF(B297="","",IF(B297="Deposit",J297,IF(B297="Withdrawal",-J297,IF(B297="Buy",-(I297+H297),IF(B297="Sell",I297-H297,IF(B297="Dividend",J297,IF(B297="Fee",-J297,0)))))))</f>
        <v/>
      </c>
      <c r="L297" s="27" t="n"/>
    </row>
    <row r="298">
      <c r="A298" s="43" t="n"/>
      <c r="B298" s="27" t="n"/>
      <c r="C298" s="27" t="n"/>
      <c r="D298" s="44" t="n"/>
      <c r="E298" s="30" t="n"/>
      <c r="F298" s="27" t="n"/>
      <c r="G298" s="31" t="n"/>
      <c r="H298" s="45" t="n"/>
      <c r="I298" s="29">
        <f>IF(OR(B298="Buy",B298="Sell"),D298*E298*IF(EXACT(F298,"GBp"),0.01,1)/IF(G298="",1,G298),"")</f>
        <v/>
      </c>
      <c r="J298" s="45" t="n"/>
      <c r="K298" s="29">
        <f>IF(B298="","",IF(B298="Deposit",J298,IF(B298="Withdrawal",-J298,IF(B298="Buy",-(I298+H298),IF(B298="Sell",I298-H298,IF(B298="Dividend",J298,IF(B298="Fee",-J298,0)))))))</f>
        <v/>
      </c>
      <c r="L298" s="27" t="n"/>
    </row>
    <row r="299">
      <c r="A299" s="43" t="n"/>
      <c r="B299" s="27" t="n"/>
      <c r="C299" s="27" t="n"/>
      <c r="D299" s="44" t="n"/>
      <c r="E299" s="30" t="n"/>
      <c r="F299" s="27" t="n"/>
      <c r="G299" s="31" t="n"/>
      <c r="H299" s="45" t="n"/>
      <c r="I299" s="29">
        <f>IF(OR(B299="Buy",B299="Sell"),D299*E299*IF(EXACT(F299,"GBp"),0.01,1)/IF(G299="",1,G299),"")</f>
        <v/>
      </c>
      <c r="J299" s="45" t="n"/>
      <c r="K299" s="29">
        <f>IF(B299="","",IF(B299="Deposit",J299,IF(B299="Withdrawal",-J299,IF(B299="Buy",-(I299+H299),IF(B299="Sell",I299-H299,IF(B299="Dividend",J299,IF(B299="Fee",-J299,0)))))))</f>
        <v/>
      </c>
      <c r="L299" s="27" t="n"/>
    </row>
    <row r="300">
      <c r="A300" s="43" t="n"/>
      <c r="B300" s="27" t="n"/>
      <c r="C300" s="27" t="n"/>
      <c r="D300" s="44" t="n"/>
      <c r="E300" s="30" t="n"/>
      <c r="F300" s="27" t="n"/>
      <c r="G300" s="31" t="n"/>
      <c r="H300" s="45" t="n"/>
      <c r="I300" s="29">
        <f>IF(OR(B300="Buy",B300="Sell"),D300*E300*IF(EXACT(F300,"GBp"),0.01,1)/IF(G300="",1,G300),"")</f>
        <v/>
      </c>
      <c r="J300" s="45" t="n"/>
      <c r="K300" s="29">
        <f>IF(B300="","",IF(B300="Deposit",J300,IF(B300="Withdrawal",-J300,IF(B300="Buy",-(I300+H300),IF(B300="Sell",I300-H300,IF(B300="Dividend",J300,IF(B300="Fee",-J300,0)))))))</f>
        <v/>
      </c>
      <c r="L300" s="27" t="n"/>
    </row>
    <row r="301">
      <c r="A301" s="43" t="n"/>
      <c r="B301" s="27" t="n"/>
      <c r="C301" s="27" t="n"/>
      <c r="D301" s="44" t="n"/>
      <c r="E301" s="30" t="n"/>
      <c r="F301" s="27" t="n"/>
      <c r="G301" s="31" t="n"/>
      <c r="H301" s="45" t="n"/>
      <c r="I301" s="29">
        <f>IF(OR(B301="Buy",B301="Sell"),D301*E301*IF(EXACT(F301,"GBp"),0.01,1)/IF(G301="",1,G301),"")</f>
        <v/>
      </c>
      <c r="J301" s="45" t="n"/>
      <c r="K301" s="29">
        <f>IF(B301="","",IF(B301="Deposit",J301,IF(B301="Withdrawal",-J301,IF(B301="Buy",-(I301+H301),IF(B301="Sell",I301-H301,IF(B301="Dividend",J301,IF(B301="Fee",-J301,0)))))))</f>
        <v/>
      </c>
      <c r="L301" s="27" t="n"/>
    </row>
    <row r="302">
      <c r="A302" s="43" t="n"/>
      <c r="B302" s="27" t="n"/>
      <c r="C302" s="27" t="n"/>
      <c r="D302" s="44" t="n"/>
      <c r="E302" s="30" t="n"/>
      <c r="F302" s="27" t="n"/>
      <c r="G302" s="31" t="n"/>
      <c r="H302" s="45" t="n"/>
      <c r="I302" s="29">
        <f>IF(OR(B302="Buy",B302="Sell"),D302*E302*IF(EXACT(F302,"GBp"),0.01,1)/IF(G302="",1,G302),"")</f>
        <v/>
      </c>
      <c r="J302" s="45" t="n"/>
      <c r="K302" s="29">
        <f>IF(B302="","",IF(B302="Deposit",J302,IF(B302="Withdrawal",-J302,IF(B302="Buy",-(I302+H302),IF(B302="Sell",I302-H302,IF(B302="Dividend",J302,IF(B302="Fee",-J302,0)))))))</f>
        <v/>
      </c>
      <c r="L302" s="27" t="n"/>
    </row>
    <row r="303">
      <c r="A303" s="43" t="n"/>
      <c r="B303" s="27" t="n"/>
      <c r="C303" s="27" t="n"/>
      <c r="D303" s="44" t="n"/>
      <c r="E303" s="30" t="n"/>
      <c r="F303" s="27" t="n"/>
      <c r="G303" s="31" t="n"/>
      <c r="H303" s="45" t="n"/>
      <c r="I303" s="29">
        <f>IF(OR(B303="Buy",B303="Sell"),D303*E303*IF(EXACT(F303,"GBp"),0.01,1)/IF(G303="",1,G303),"")</f>
        <v/>
      </c>
      <c r="J303" s="45" t="n"/>
      <c r="K303" s="29">
        <f>IF(B303="","",IF(B303="Deposit",J303,IF(B303="Withdrawal",-J303,IF(B303="Buy",-(I303+H303),IF(B303="Sell",I303-H303,IF(B303="Dividend",J303,IF(B303="Fee",-J303,0)))))))</f>
        <v/>
      </c>
      <c r="L303" s="27" t="n"/>
    </row>
    <row r="304">
      <c r="A304" s="43" t="n"/>
      <c r="B304" s="27" t="n"/>
      <c r="C304" s="27" t="n"/>
      <c r="D304" s="44" t="n"/>
      <c r="E304" s="30" t="n"/>
      <c r="F304" s="27" t="n"/>
      <c r="G304" s="31" t="n"/>
      <c r="H304" s="45" t="n"/>
      <c r="I304" s="29">
        <f>IF(OR(B304="Buy",B304="Sell"),D304*E304*IF(EXACT(F304,"GBp"),0.01,1)/IF(G304="",1,G304),"")</f>
        <v/>
      </c>
      <c r="J304" s="45" t="n"/>
      <c r="K304" s="29">
        <f>IF(B304="","",IF(B304="Deposit",J304,IF(B304="Withdrawal",-J304,IF(B304="Buy",-(I304+H304),IF(B304="Sell",I304-H304,IF(B304="Dividend",J304,IF(B304="Fee",-J304,0)))))))</f>
        <v/>
      </c>
      <c r="L304" s="27" t="n"/>
    </row>
    <row r="305">
      <c r="A305" s="43" t="n"/>
      <c r="B305" s="27" t="n"/>
      <c r="C305" s="27" t="n"/>
      <c r="D305" s="44" t="n"/>
      <c r="E305" s="30" t="n"/>
      <c r="F305" s="27" t="n"/>
      <c r="G305" s="31" t="n"/>
      <c r="H305" s="45" t="n"/>
      <c r="I305" s="29">
        <f>IF(OR(B305="Buy",B305="Sell"),D305*E305*IF(EXACT(F305,"GBp"),0.01,1)/IF(G305="",1,G305),"")</f>
        <v/>
      </c>
      <c r="J305" s="45" t="n"/>
      <c r="K305" s="29">
        <f>IF(B305="","",IF(B305="Deposit",J305,IF(B305="Withdrawal",-J305,IF(B305="Buy",-(I305+H305),IF(B305="Sell",I305-H305,IF(B305="Dividend",J305,IF(B305="Fee",-J305,0)))))))</f>
        <v/>
      </c>
      <c r="L305" s="27" t="n"/>
    </row>
    <row r="306">
      <c r="A306" s="43" t="n"/>
      <c r="B306" s="27" t="n"/>
      <c r="C306" s="27" t="n"/>
      <c r="D306" s="44" t="n"/>
      <c r="E306" s="30" t="n"/>
      <c r="F306" s="27" t="n"/>
      <c r="G306" s="31" t="n"/>
      <c r="H306" s="45" t="n"/>
      <c r="I306" s="29">
        <f>IF(OR(B306="Buy",B306="Sell"),D306*E306*IF(EXACT(F306,"GBp"),0.01,1)/IF(G306="",1,G306),"")</f>
        <v/>
      </c>
      <c r="J306" s="45" t="n"/>
      <c r="K306" s="29">
        <f>IF(B306="","",IF(B306="Deposit",J306,IF(B306="Withdrawal",-J306,IF(B306="Buy",-(I306+H306),IF(B306="Sell",I306-H306,IF(B306="Dividend",J306,IF(B306="Fee",-J306,0)))))))</f>
        <v/>
      </c>
      <c r="L306" s="27" t="n"/>
    </row>
    <row r="307">
      <c r="A307" s="43" t="n"/>
      <c r="B307" s="27" t="n"/>
      <c r="C307" s="27" t="n"/>
      <c r="D307" s="44" t="n"/>
      <c r="E307" s="30" t="n"/>
      <c r="F307" s="27" t="n"/>
      <c r="G307" s="31" t="n"/>
      <c r="H307" s="45" t="n"/>
      <c r="I307" s="29">
        <f>IF(OR(B307="Buy",B307="Sell"),D307*E307*IF(EXACT(F307,"GBp"),0.01,1)/IF(G307="",1,G307),"")</f>
        <v/>
      </c>
      <c r="J307" s="45" t="n"/>
      <c r="K307" s="29">
        <f>IF(B307="","",IF(B307="Deposit",J307,IF(B307="Withdrawal",-J307,IF(B307="Buy",-(I307+H307),IF(B307="Sell",I307-H307,IF(B307="Dividend",J307,IF(B307="Fee",-J307,0)))))))</f>
        <v/>
      </c>
      <c r="L307" s="27" t="n"/>
    </row>
    <row r="308">
      <c r="A308" s="43" t="n"/>
      <c r="B308" s="27" t="n"/>
      <c r="C308" s="27" t="n"/>
      <c r="D308" s="44" t="n"/>
      <c r="E308" s="30" t="n"/>
      <c r="F308" s="27" t="n"/>
      <c r="G308" s="31" t="n"/>
      <c r="H308" s="45" t="n"/>
      <c r="I308" s="29">
        <f>IF(OR(B308="Buy",B308="Sell"),D308*E308*IF(EXACT(F308,"GBp"),0.01,1)/IF(G308="",1,G308),"")</f>
        <v/>
      </c>
      <c r="J308" s="45" t="n"/>
      <c r="K308" s="29">
        <f>IF(B308="","",IF(B308="Deposit",J308,IF(B308="Withdrawal",-J308,IF(B308="Buy",-(I308+H308),IF(B308="Sell",I308-H308,IF(B308="Dividend",J308,IF(B308="Fee",-J308,0)))))))</f>
        <v/>
      </c>
      <c r="L308" s="27" t="n"/>
    </row>
    <row r="309">
      <c r="A309" s="43" t="n"/>
      <c r="B309" s="27" t="n"/>
      <c r="C309" s="27" t="n"/>
      <c r="D309" s="44" t="n"/>
      <c r="E309" s="30" t="n"/>
      <c r="F309" s="27" t="n"/>
      <c r="G309" s="31" t="n"/>
      <c r="H309" s="45" t="n"/>
      <c r="I309" s="29">
        <f>IF(OR(B309="Buy",B309="Sell"),D309*E309*IF(EXACT(F309,"GBp"),0.01,1)/IF(G309="",1,G309),"")</f>
        <v/>
      </c>
      <c r="J309" s="45" t="n"/>
      <c r="K309" s="29">
        <f>IF(B309="","",IF(B309="Deposit",J309,IF(B309="Withdrawal",-J309,IF(B309="Buy",-(I309+H309),IF(B309="Sell",I309-H309,IF(B309="Dividend",J309,IF(B309="Fee",-J309,0)))))))</f>
        <v/>
      </c>
      <c r="L309" s="27" t="n"/>
    </row>
    <row r="310">
      <c r="A310" s="43" t="n"/>
      <c r="B310" s="27" t="n"/>
      <c r="C310" s="27" t="n"/>
      <c r="D310" s="44" t="n"/>
      <c r="E310" s="30" t="n"/>
      <c r="F310" s="27" t="n"/>
      <c r="G310" s="31" t="n"/>
      <c r="H310" s="45" t="n"/>
      <c r="I310" s="29">
        <f>IF(OR(B310="Buy",B310="Sell"),D310*E310*IF(EXACT(F310,"GBp"),0.01,1)/IF(G310="",1,G310),"")</f>
        <v/>
      </c>
      <c r="J310" s="45" t="n"/>
      <c r="K310" s="29">
        <f>IF(B310="","",IF(B310="Deposit",J310,IF(B310="Withdrawal",-J310,IF(B310="Buy",-(I310+H310),IF(B310="Sell",I310-H310,IF(B310="Dividend",J310,IF(B310="Fee",-J310,0)))))))</f>
        <v/>
      </c>
      <c r="L310" s="27" t="n"/>
    </row>
    <row r="311">
      <c r="A311" s="43" t="n"/>
      <c r="B311" s="27" t="n"/>
      <c r="C311" s="27" t="n"/>
      <c r="D311" s="44" t="n"/>
      <c r="E311" s="30" t="n"/>
      <c r="F311" s="27" t="n"/>
      <c r="G311" s="31" t="n"/>
      <c r="H311" s="45" t="n"/>
      <c r="I311" s="29">
        <f>IF(OR(B311="Buy",B311="Sell"),D311*E311*IF(EXACT(F311,"GBp"),0.01,1)/IF(G311="",1,G311),"")</f>
        <v/>
      </c>
      <c r="J311" s="45" t="n"/>
      <c r="K311" s="29">
        <f>IF(B311="","",IF(B311="Deposit",J311,IF(B311="Withdrawal",-J311,IF(B311="Buy",-(I311+H311),IF(B311="Sell",I311-H311,IF(B311="Dividend",J311,IF(B311="Fee",-J311,0)))))))</f>
        <v/>
      </c>
      <c r="L311" s="27" t="n"/>
    </row>
    <row r="312">
      <c r="A312" s="43" t="n"/>
      <c r="B312" s="27" t="n"/>
      <c r="C312" s="27" t="n"/>
      <c r="D312" s="44" t="n"/>
      <c r="E312" s="30" t="n"/>
      <c r="F312" s="27" t="n"/>
      <c r="G312" s="31" t="n"/>
      <c r="H312" s="45" t="n"/>
      <c r="I312" s="29">
        <f>IF(OR(B312="Buy",B312="Sell"),D312*E312*IF(EXACT(F312,"GBp"),0.01,1)/IF(G312="",1,G312),"")</f>
        <v/>
      </c>
      <c r="J312" s="45" t="n"/>
      <c r="K312" s="29">
        <f>IF(B312="","",IF(B312="Deposit",J312,IF(B312="Withdrawal",-J312,IF(B312="Buy",-(I312+H312),IF(B312="Sell",I312-H312,IF(B312="Dividend",J312,IF(B312="Fee",-J312,0)))))))</f>
        <v/>
      </c>
      <c r="L312" s="27" t="n"/>
    </row>
    <row r="313">
      <c r="A313" s="43" t="n"/>
      <c r="B313" s="27" t="n"/>
      <c r="C313" s="27" t="n"/>
      <c r="D313" s="44" t="n"/>
      <c r="E313" s="30" t="n"/>
      <c r="F313" s="27" t="n"/>
      <c r="G313" s="31" t="n"/>
      <c r="H313" s="45" t="n"/>
      <c r="I313" s="29">
        <f>IF(OR(B313="Buy",B313="Sell"),D313*E313*IF(EXACT(F313,"GBp"),0.01,1)/IF(G313="",1,G313),"")</f>
        <v/>
      </c>
      <c r="J313" s="45" t="n"/>
      <c r="K313" s="29">
        <f>IF(B313="","",IF(B313="Deposit",J313,IF(B313="Withdrawal",-J313,IF(B313="Buy",-(I313+H313),IF(B313="Sell",I313-H313,IF(B313="Dividend",J313,IF(B313="Fee",-J313,0)))))))</f>
        <v/>
      </c>
      <c r="L313" s="27" t="n"/>
    </row>
    <row r="314">
      <c r="A314" s="43" t="n"/>
      <c r="B314" s="27" t="n"/>
      <c r="C314" s="27" t="n"/>
      <c r="D314" s="44" t="n"/>
      <c r="E314" s="30" t="n"/>
      <c r="F314" s="27" t="n"/>
      <c r="G314" s="31" t="n"/>
      <c r="H314" s="45" t="n"/>
      <c r="I314" s="29">
        <f>IF(OR(B314="Buy",B314="Sell"),D314*E314*IF(EXACT(F314,"GBp"),0.01,1)/IF(G314="",1,G314),"")</f>
        <v/>
      </c>
      <c r="J314" s="45" t="n"/>
      <c r="K314" s="29">
        <f>IF(B314="","",IF(B314="Deposit",J314,IF(B314="Withdrawal",-J314,IF(B314="Buy",-(I314+H314),IF(B314="Sell",I314-H314,IF(B314="Dividend",J314,IF(B314="Fee",-J314,0)))))))</f>
        <v/>
      </c>
      <c r="L314" s="27" t="n"/>
    </row>
    <row r="315">
      <c r="A315" s="43" t="n"/>
      <c r="B315" s="27" t="n"/>
      <c r="C315" s="27" t="n"/>
      <c r="D315" s="44" t="n"/>
      <c r="E315" s="30" t="n"/>
      <c r="F315" s="27" t="n"/>
      <c r="G315" s="31" t="n"/>
      <c r="H315" s="45" t="n"/>
      <c r="I315" s="29">
        <f>IF(OR(B315="Buy",B315="Sell"),D315*E315*IF(EXACT(F315,"GBp"),0.01,1)/IF(G315="",1,G315),"")</f>
        <v/>
      </c>
      <c r="J315" s="45" t="n"/>
      <c r="K315" s="29">
        <f>IF(B315="","",IF(B315="Deposit",J315,IF(B315="Withdrawal",-J315,IF(B315="Buy",-(I315+H315),IF(B315="Sell",I315-H315,IF(B315="Dividend",J315,IF(B315="Fee",-J315,0)))))))</f>
        <v/>
      </c>
      <c r="L315" s="27" t="n"/>
    </row>
    <row r="316">
      <c r="A316" s="43" t="n"/>
      <c r="B316" s="27" t="n"/>
      <c r="C316" s="27" t="n"/>
      <c r="D316" s="44" t="n"/>
      <c r="E316" s="30" t="n"/>
      <c r="F316" s="27" t="n"/>
      <c r="G316" s="31" t="n"/>
      <c r="H316" s="45" t="n"/>
      <c r="I316" s="29">
        <f>IF(OR(B316="Buy",B316="Sell"),D316*E316*IF(EXACT(F316,"GBp"),0.01,1)/IF(G316="",1,G316),"")</f>
        <v/>
      </c>
      <c r="J316" s="45" t="n"/>
      <c r="K316" s="29">
        <f>IF(B316="","",IF(B316="Deposit",J316,IF(B316="Withdrawal",-J316,IF(B316="Buy",-(I316+H316),IF(B316="Sell",I316-H316,IF(B316="Dividend",J316,IF(B316="Fee",-J316,0)))))))</f>
        <v/>
      </c>
      <c r="L316" s="27" t="n"/>
    </row>
    <row r="317">
      <c r="A317" s="43" t="n"/>
      <c r="B317" s="27" t="n"/>
      <c r="C317" s="27" t="n"/>
      <c r="D317" s="44" t="n"/>
      <c r="E317" s="30" t="n"/>
      <c r="F317" s="27" t="n"/>
      <c r="G317" s="31" t="n"/>
      <c r="H317" s="45" t="n"/>
      <c r="I317" s="29">
        <f>IF(OR(B317="Buy",B317="Sell"),D317*E317*IF(EXACT(F317,"GBp"),0.01,1)/IF(G317="",1,G317),"")</f>
        <v/>
      </c>
      <c r="J317" s="45" t="n"/>
      <c r="K317" s="29">
        <f>IF(B317="","",IF(B317="Deposit",J317,IF(B317="Withdrawal",-J317,IF(B317="Buy",-(I317+H317),IF(B317="Sell",I317-H317,IF(B317="Dividend",J317,IF(B317="Fee",-J317,0)))))))</f>
        <v/>
      </c>
      <c r="L317" s="27" t="n"/>
    </row>
    <row r="318">
      <c r="A318" s="43" t="n"/>
      <c r="B318" s="27" t="n"/>
      <c r="C318" s="27" t="n"/>
      <c r="D318" s="44" t="n"/>
      <c r="E318" s="30" t="n"/>
      <c r="F318" s="27" t="n"/>
      <c r="G318" s="31" t="n"/>
      <c r="H318" s="45" t="n"/>
      <c r="I318" s="29">
        <f>IF(OR(B318="Buy",B318="Sell"),D318*E318*IF(EXACT(F318,"GBp"),0.01,1)/IF(G318="",1,G318),"")</f>
        <v/>
      </c>
      <c r="J318" s="45" t="n"/>
      <c r="K318" s="29">
        <f>IF(B318="","",IF(B318="Deposit",J318,IF(B318="Withdrawal",-J318,IF(B318="Buy",-(I318+H318),IF(B318="Sell",I318-H318,IF(B318="Dividend",J318,IF(B318="Fee",-J318,0)))))))</f>
        <v/>
      </c>
      <c r="L318" s="27" t="n"/>
    </row>
    <row r="319">
      <c r="A319" s="43" t="n"/>
      <c r="B319" s="27" t="n"/>
      <c r="C319" s="27" t="n"/>
      <c r="D319" s="44" t="n"/>
      <c r="E319" s="30" t="n"/>
      <c r="F319" s="27" t="n"/>
      <c r="G319" s="31" t="n"/>
      <c r="H319" s="45" t="n"/>
      <c r="I319" s="29">
        <f>IF(OR(B319="Buy",B319="Sell"),D319*E319*IF(EXACT(F319,"GBp"),0.01,1)/IF(G319="",1,G319),"")</f>
        <v/>
      </c>
      <c r="J319" s="45" t="n"/>
      <c r="K319" s="29">
        <f>IF(B319="","",IF(B319="Deposit",J319,IF(B319="Withdrawal",-J319,IF(B319="Buy",-(I319+H319),IF(B319="Sell",I319-H319,IF(B319="Dividend",J319,IF(B319="Fee",-J319,0)))))))</f>
        <v/>
      </c>
      <c r="L319" s="27" t="n"/>
    </row>
    <row r="320">
      <c r="A320" s="43" t="n"/>
      <c r="B320" s="27" t="n"/>
      <c r="C320" s="27" t="n"/>
      <c r="D320" s="44" t="n"/>
      <c r="E320" s="30" t="n"/>
      <c r="F320" s="27" t="n"/>
      <c r="G320" s="31" t="n"/>
      <c r="H320" s="45" t="n"/>
      <c r="I320" s="29">
        <f>IF(OR(B320="Buy",B320="Sell"),D320*E320*IF(EXACT(F320,"GBp"),0.01,1)/IF(G320="",1,G320),"")</f>
        <v/>
      </c>
      <c r="J320" s="45" t="n"/>
      <c r="K320" s="29">
        <f>IF(B320="","",IF(B320="Deposit",J320,IF(B320="Withdrawal",-J320,IF(B320="Buy",-(I320+H320),IF(B320="Sell",I320-H320,IF(B320="Dividend",J320,IF(B320="Fee",-J320,0)))))))</f>
        <v/>
      </c>
      <c r="L320" s="27" t="n"/>
    </row>
    <row r="321">
      <c r="A321" s="43" t="n"/>
      <c r="B321" s="27" t="n"/>
      <c r="C321" s="27" t="n"/>
      <c r="D321" s="44" t="n"/>
      <c r="E321" s="30" t="n"/>
      <c r="F321" s="27" t="n"/>
      <c r="G321" s="31" t="n"/>
      <c r="H321" s="45" t="n"/>
      <c r="I321" s="29">
        <f>IF(OR(B321="Buy",B321="Sell"),D321*E321*IF(EXACT(F321,"GBp"),0.01,1)/IF(G321="",1,G321),"")</f>
        <v/>
      </c>
      <c r="J321" s="45" t="n"/>
      <c r="K321" s="29">
        <f>IF(B321="","",IF(B321="Deposit",J321,IF(B321="Withdrawal",-J321,IF(B321="Buy",-(I321+H321),IF(B321="Sell",I321-H321,IF(B321="Dividend",J321,IF(B321="Fee",-J321,0)))))))</f>
        <v/>
      </c>
      <c r="L321" s="27" t="n"/>
    </row>
    <row r="322">
      <c r="A322" s="43" t="n"/>
      <c r="B322" s="27" t="n"/>
      <c r="C322" s="27" t="n"/>
      <c r="D322" s="44" t="n"/>
      <c r="E322" s="30" t="n"/>
      <c r="F322" s="27" t="n"/>
      <c r="G322" s="31" t="n"/>
      <c r="H322" s="45" t="n"/>
      <c r="I322" s="29">
        <f>IF(OR(B322="Buy",B322="Sell"),D322*E322*IF(EXACT(F322,"GBp"),0.01,1)/IF(G322="",1,G322),"")</f>
        <v/>
      </c>
      <c r="J322" s="45" t="n"/>
      <c r="K322" s="29">
        <f>IF(B322="","",IF(B322="Deposit",J322,IF(B322="Withdrawal",-J322,IF(B322="Buy",-(I322+H322),IF(B322="Sell",I322-H322,IF(B322="Dividend",J322,IF(B322="Fee",-J322,0)))))))</f>
        <v/>
      </c>
      <c r="L322" s="27" t="n"/>
    </row>
    <row r="323">
      <c r="A323" s="43" t="n"/>
      <c r="B323" s="27" t="n"/>
      <c r="C323" s="27" t="n"/>
      <c r="D323" s="44" t="n"/>
      <c r="E323" s="30" t="n"/>
      <c r="F323" s="27" t="n"/>
      <c r="G323" s="31" t="n"/>
      <c r="H323" s="45" t="n"/>
      <c r="I323" s="29">
        <f>IF(OR(B323="Buy",B323="Sell"),D323*E323*IF(EXACT(F323,"GBp"),0.01,1)/IF(G323="",1,G323),"")</f>
        <v/>
      </c>
      <c r="J323" s="45" t="n"/>
      <c r="K323" s="29">
        <f>IF(B323="","",IF(B323="Deposit",J323,IF(B323="Withdrawal",-J323,IF(B323="Buy",-(I323+H323),IF(B323="Sell",I323-H323,IF(B323="Dividend",J323,IF(B323="Fee",-J323,0)))))))</f>
        <v/>
      </c>
      <c r="L323" s="27" t="n"/>
    </row>
    <row r="324">
      <c r="A324" s="43" t="n"/>
      <c r="B324" s="27" t="n"/>
      <c r="C324" s="27" t="n"/>
      <c r="D324" s="44" t="n"/>
      <c r="E324" s="30" t="n"/>
      <c r="F324" s="27" t="n"/>
      <c r="G324" s="31" t="n"/>
      <c r="H324" s="45" t="n"/>
      <c r="I324" s="29">
        <f>IF(OR(B324="Buy",B324="Sell"),D324*E324*IF(EXACT(F324,"GBp"),0.01,1)/IF(G324="",1,G324),"")</f>
        <v/>
      </c>
      <c r="J324" s="45" t="n"/>
      <c r="K324" s="29">
        <f>IF(B324="","",IF(B324="Deposit",J324,IF(B324="Withdrawal",-J324,IF(B324="Buy",-(I324+H324),IF(B324="Sell",I324-H324,IF(B324="Dividend",J324,IF(B324="Fee",-J324,0)))))))</f>
        <v/>
      </c>
      <c r="L324" s="27" t="n"/>
    </row>
    <row r="325">
      <c r="A325" s="43" t="n"/>
      <c r="B325" s="27" t="n"/>
      <c r="C325" s="27" t="n"/>
      <c r="D325" s="44" t="n"/>
      <c r="E325" s="30" t="n"/>
      <c r="F325" s="27" t="n"/>
      <c r="G325" s="31" t="n"/>
      <c r="H325" s="45" t="n"/>
      <c r="I325" s="29">
        <f>IF(OR(B325="Buy",B325="Sell"),D325*E325*IF(EXACT(F325,"GBp"),0.01,1)/IF(G325="",1,G325),"")</f>
        <v/>
      </c>
      <c r="J325" s="45" t="n"/>
      <c r="K325" s="29">
        <f>IF(B325="","",IF(B325="Deposit",J325,IF(B325="Withdrawal",-J325,IF(B325="Buy",-(I325+H325),IF(B325="Sell",I325-H325,IF(B325="Dividend",J325,IF(B325="Fee",-J325,0)))))))</f>
        <v/>
      </c>
      <c r="L325" s="27" t="n"/>
    </row>
    <row r="326">
      <c r="A326" s="43" t="n"/>
      <c r="B326" s="27" t="n"/>
      <c r="C326" s="27" t="n"/>
      <c r="D326" s="44" t="n"/>
      <c r="E326" s="30" t="n"/>
      <c r="F326" s="27" t="n"/>
      <c r="G326" s="31" t="n"/>
      <c r="H326" s="45" t="n"/>
      <c r="I326" s="29">
        <f>IF(OR(B326="Buy",B326="Sell"),D326*E326*IF(EXACT(F326,"GBp"),0.01,1)/IF(G326="",1,G326),"")</f>
        <v/>
      </c>
      <c r="J326" s="45" t="n"/>
      <c r="K326" s="29">
        <f>IF(B326="","",IF(B326="Deposit",J326,IF(B326="Withdrawal",-J326,IF(B326="Buy",-(I326+H326),IF(B326="Sell",I326-H326,IF(B326="Dividend",J326,IF(B326="Fee",-J326,0)))))))</f>
        <v/>
      </c>
      <c r="L326" s="27" t="n"/>
    </row>
    <row r="327">
      <c r="A327" s="43" t="n"/>
      <c r="B327" s="27" t="n"/>
      <c r="C327" s="27" t="n"/>
      <c r="D327" s="44" t="n"/>
      <c r="E327" s="30" t="n"/>
      <c r="F327" s="27" t="n"/>
      <c r="G327" s="31" t="n"/>
      <c r="H327" s="45" t="n"/>
      <c r="I327" s="29">
        <f>IF(OR(B327="Buy",B327="Sell"),D327*E327*IF(EXACT(F327,"GBp"),0.01,1)/IF(G327="",1,G327),"")</f>
        <v/>
      </c>
      <c r="J327" s="45" t="n"/>
      <c r="K327" s="29">
        <f>IF(B327="","",IF(B327="Deposit",J327,IF(B327="Withdrawal",-J327,IF(B327="Buy",-(I327+H327),IF(B327="Sell",I327-H327,IF(B327="Dividend",J327,IF(B327="Fee",-J327,0)))))))</f>
        <v/>
      </c>
      <c r="L327" s="27" t="n"/>
    </row>
    <row r="328">
      <c r="A328" s="43" t="n"/>
      <c r="B328" s="27" t="n"/>
      <c r="C328" s="27" t="n"/>
      <c r="D328" s="44" t="n"/>
      <c r="E328" s="30" t="n"/>
      <c r="F328" s="27" t="n"/>
      <c r="G328" s="31" t="n"/>
      <c r="H328" s="45" t="n"/>
      <c r="I328" s="29">
        <f>IF(OR(B328="Buy",B328="Sell"),D328*E328*IF(EXACT(F328,"GBp"),0.01,1)/IF(G328="",1,G328),"")</f>
        <v/>
      </c>
      <c r="J328" s="45" t="n"/>
      <c r="K328" s="29">
        <f>IF(B328="","",IF(B328="Deposit",J328,IF(B328="Withdrawal",-J328,IF(B328="Buy",-(I328+H328),IF(B328="Sell",I328-H328,IF(B328="Dividend",J328,IF(B328="Fee",-J328,0)))))))</f>
        <v/>
      </c>
      <c r="L328" s="27" t="n"/>
    </row>
    <row r="329">
      <c r="A329" s="43" t="n"/>
      <c r="B329" s="27" t="n"/>
      <c r="C329" s="27" t="n"/>
      <c r="D329" s="44" t="n"/>
      <c r="E329" s="30" t="n"/>
      <c r="F329" s="27" t="n"/>
      <c r="G329" s="31" t="n"/>
      <c r="H329" s="45" t="n"/>
      <c r="I329" s="29">
        <f>IF(OR(B329="Buy",B329="Sell"),D329*E329*IF(EXACT(F329,"GBp"),0.01,1)/IF(G329="",1,G329),"")</f>
        <v/>
      </c>
      <c r="J329" s="45" t="n"/>
      <c r="K329" s="29">
        <f>IF(B329="","",IF(B329="Deposit",J329,IF(B329="Withdrawal",-J329,IF(B329="Buy",-(I329+H329),IF(B329="Sell",I329-H329,IF(B329="Dividend",J329,IF(B329="Fee",-J329,0)))))))</f>
        <v/>
      </c>
      <c r="L329" s="27" t="n"/>
    </row>
    <row r="330">
      <c r="A330" s="43" t="n"/>
      <c r="B330" s="27" t="n"/>
      <c r="C330" s="27" t="n"/>
      <c r="D330" s="44" t="n"/>
      <c r="E330" s="30" t="n"/>
      <c r="F330" s="27" t="n"/>
      <c r="G330" s="31" t="n"/>
      <c r="H330" s="45" t="n"/>
      <c r="I330" s="29">
        <f>IF(OR(B330="Buy",B330="Sell"),D330*E330*IF(EXACT(F330,"GBp"),0.01,1)/IF(G330="",1,G330),"")</f>
        <v/>
      </c>
      <c r="J330" s="45" t="n"/>
      <c r="K330" s="29">
        <f>IF(B330="","",IF(B330="Deposit",J330,IF(B330="Withdrawal",-J330,IF(B330="Buy",-(I330+H330),IF(B330="Sell",I330-H330,IF(B330="Dividend",J330,IF(B330="Fee",-J330,0)))))))</f>
        <v/>
      </c>
      <c r="L330" s="27" t="n"/>
    </row>
    <row r="331">
      <c r="A331" s="43" t="n"/>
      <c r="B331" s="27" t="n"/>
      <c r="C331" s="27" t="n"/>
      <c r="D331" s="44" t="n"/>
      <c r="E331" s="30" t="n"/>
      <c r="F331" s="27" t="n"/>
      <c r="G331" s="31" t="n"/>
      <c r="H331" s="45" t="n"/>
      <c r="I331" s="29">
        <f>IF(OR(B331="Buy",B331="Sell"),D331*E331*IF(EXACT(F331,"GBp"),0.01,1)/IF(G331="",1,G331),"")</f>
        <v/>
      </c>
      <c r="J331" s="45" t="n"/>
      <c r="K331" s="29">
        <f>IF(B331="","",IF(B331="Deposit",J331,IF(B331="Withdrawal",-J331,IF(B331="Buy",-(I331+H331),IF(B331="Sell",I331-H331,IF(B331="Dividend",J331,IF(B331="Fee",-J331,0)))))))</f>
        <v/>
      </c>
      <c r="L331" s="27" t="n"/>
    </row>
    <row r="332">
      <c r="A332" s="43" t="n"/>
      <c r="B332" s="27" t="n"/>
      <c r="C332" s="27" t="n"/>
      <c r="D332" s="44" t="n"/>
      <c r="E332" s="30" t="n"/>
      <c r="F332" s="27" t="n"/>
      <c r="G332" s="31" t="n"/>
      <c r="H332" s="45" t="n"/>
      <c r="I332" s="29">
        <f>IF(OR(B332="Buy",B332="Sell"),D332*E332*IF(EXACT(F332,"GBp"),0.01,1)/IF(G332="",1,G332),"")</f>
        <v/>
      </c>
      <c r="J332" s="45" t="n"/>
      <c r="K332" s="29">
        <f>IF(B332="","",IF(B332="Deposit",J332,IF(B332="Withdrawal",-J332,IF(B332="Buy",-(I332+H332),IF(B332="Sell",I332-H332,IF(B332="Dividend",J332,IF(B332="Fee",-J332,0)))))))</f>
        <v/>
      </c>
      <c r="L332" s="27" t="n"/>
    </row>
    <row r="333">
      <c r="A333" s="43" t="n"/>
      <c r="B333" s="27" t="n"/>
      <c r="C333" s="27" t="n"/>
      <c r="D333" s="44" t="n"/>
      <c r="E333" s="30" t="n"/>
      <c r="F333" s="27" t="n"/>
      <c r="G333" s="31" t="n"/>
      <c r="H333" s="45" t="n"/>
      <c r="I333" s="29">
        <f>IF(OR(B333="Buy",B333="Sell"),D333*E333*IF(EXACT(F333,"GBp"),0.01,1)/IF(G333="",1,G333),"")</f>
        <v/>
      </c>
      <c r="J333" s="45" t="n"/>
      <c r="K333" s="29">
        <f>IF(B333="","",IF(B333="Deposit",J333,IF(B333="Withdrawal",-J333,IF(B333="Buy",-(I333+H333),IF(B333="Sell",I333-H333,IF(B333="Dividend",J333,IF(B333="Fee",-J333,0)))))))</f>
        <v/>
      </c>
      <c r="L333" s="27" t="n"/>
    </row>
    <row r="334">
      <c r="A334" s="43" t="n"/>
      <c r="B334" s="27" t="n"/>
      <c r="C334" s="27" t="n"/>
      <c r="D334" s="44" t="n"/>
      <c r="E334" s="30" t="n"/>
      <c r="F334" s="27" t="n"/>
      <c r="G334" s="31" t="n"/>
      <c r="H334" s="45" t="n"/>
      <c r="I334" s="29">
        <f>IF(OR(B334="Buy",B334="Sell"),D334*E334*IF(EXACT(F334,"GBp"),0.01,1)/IF(G334="",1,G334),"")</f>
        <v/>
      </c>
      <c r="J334" s="45" t="n"/>
      <c r="K334" s="29">
        <f>IF(B334="","",IF(B334="Deposit",J334,IF(B334="Withdrawal",-J334,IF(B334="Buy",-(I334+H334),IF(B334="Sell",I334-H334,IF(B334="Dividend",J334,IF(B334="Fee",-J334,0)))))))</f>
        <v/>
      </c>
      <c r="L334" s="27" t="n"/>
    </row>
    <row r="335">
      <c r="A335" s="43" t="n"/>
      <c r="B335" s="27" t="n"/>
      <c r="C335" s="27" t="n"/>
      <c r="D335" s="44" t="n"/>
      <c r="E335" s="30" t="n"/>
      <c r="F335" s="27" t="n"/>
      <c r="G335" s="31" t="n"/>
      <c r="H335" s="45" t="n"/>
      <c r="I335" s="29">
        <f>IF(OR(B335="Buy",B335="Sell"),D335*E335*IF(EXACT(F335,"GBp"),0.01,1)/IF(G335="",1,G335),"")</f>
        <v/>
      </c>
      <c r="J335" s="45" t="n"/>
      <c r="K335" s="29">
        <f>IF(B335="","",IF(B335="Deposit",J335,IF(B335="Withdrawal",-J335,IF(B335="Buy",-(I335+H335),IF(B335="Sell",I335-H335,IF(B335="Dividend",J335,IF(B335="Fee",-J335,0)))))))</f>
        <v/>
      </c>
      <c r="L335" s="27" t="n"/>
    </row>
    <row r="336">
      <c r="A336" s="43" t="n"/>
      <c r="B336" s="27" t="n"/>
      <c r="C336" s="27" t="n"/>
      <c r="D336" s="44" t="n"/>
      <c r="E336" s="30" t="n"/>
      <c r="F336" s="27" t="n"/>
      <c r="G336" s="31" t="n"/>
      <c r="H336" s="45" t="n"/>
      <c r="I336" s="29">
        <f>IF(OR(B336="Buy",B336="Sell"),D336*E336*IF(EXACT(F336,"GBp"),0.01,1)/IF(G336="",1,G336),"")</f>
        <v/>
      </c>
      <c r="J336" s="45" t="n"/>
      <c r="K336" s="29">
        <f>IF(B336="","",IF(B336="Deposit",J336,IF(B336="Withdrawal",-J336,IF(B336="Buy",-(I336+H336),IF(B336="Sell",I336-H336,IF(B336="Dividend",J336,IF(B336="Fee",-J336,0)))))))</f>
        <v/>
      </c>
      <c r="L336" s="27" t="n"/>
    </row>
    <row r="337">
      <c r="A337" s="43" t="n"/>
      <c r="B337" s="27" t="n"/>
      <c r="C337" s="27" t="n"/>
      <c r="D337" s="44" t="n"/>
      <c r="E337" s="30" t="n"/>
      <c r="F337" s="27" t="n"/>
      <c r="G337" s="31" t="n"/>
      <c r="H337" s="45" t="n"/>
      <c r="I337" s="29">
        <f>IF(OR(B337="Buy",B337="Sell"),D337*E337*IF(EXACT(F337,"GBp"),0.01,1)/IF(G337="",1,G337),"")</f>
        <v/>
      </c>
      <c r="J337" s="45" t="n"/>
      <c r="K337" s="29">
        <f>IF(B337="","",IF(B337="Deposit",J337,IF(B337="Withdrawal",-J337,IF(B337="Buy",-(I337+H337),IF(B337="Sell",I337-H337,IF(B337="Dividend",J337,IF(B337="Fee",-J337,0)))))))</f>
        <v/>
      </c>
      <c r="L337" s="27" t="n"/>
    </row>
    <row r="338">
      <c r="A338" s="43" t="n"/>
      <c r="B338" s="27" t="n"/>
      <c r="C338" s="27" t="n"/>
      <c r="D338" s="44" t="n"/>
      <c r="E338" s="30" t="n"/>
      <c r="F338" s="27" t="n"/>
      <c r="G338" s="31" t="n"/>
      <c r="H338" s="45" t="n"/>
      <c r="I338" s="29">
        <f>IF(OR(B338="Buy",B338="Sell"),D338*E338*IF(EXACT(F338,"GBp"),0.01,1)/IF(G338="",1,G338),"")</f>
        <v/>
      </c>
      <c r="J338" s="45" t="n"/>
      <c r="K338" s="29">
        <f>IF(B338="","",IF(B338="Deposit",J338,IF(B338="Withdrawal",-J338,IF(B338="Buy",-(I338+H338),IF(B338="Sell",I338-H338,IF(B338="Dividend",J338,IF(B338="Fee",-J338,0)))))))</f>
        <v/>
      </c>
      <c r="L338" s="27" t="n"/>
    </row>
    <row r="339">
      <c r="A339" s="43" t="n"/>
      <c r="B339" s="27" t="n"/>
      <c r="C339" s="27" t="n"/>
      <c r="D339" s="44" t="n"/>
      <c r="E339" s="30" t="n"/>
      <c r="F339" s="27" t="n"/>
      <c r="G339" s="31" t="n"/>
      <c r="H339" s="45" t="n"/>
      <c r="I339" s="29">
        <f>IF(OR(B339="Buy",B339="Sell"),D339*E339*IF(EXACT(F339,"GBp"),0.01,1)/IF(G339="",1,G339),"")</f>
        <v/>
      </c>
      <c r="J339" s="45" t="n"/>
      <c r="K339" s="29">
        <f>IF(B339="","",IF(B339="Deposit",J339,IF(B339="Withdrawal",-J339,IF(B339="Buy",-(I339+H339),IF(B339="Sell",I339-H339,IF(B339="Dividend",J339,IF(B339="Fee",-J339,0)))))))</f>
        <v/>
      </c>
      <c r="L339" s="27" t="n"/>
    </row>
    <row r="340">
      <c r="A340" s="43" t="n"/>
      <c r="B340" s="27" t="n"/>
      <c r="C340" s="27" t="n"/>
      <c r="D340" s="44" t="n"/>
      <c r="E340" s="30" t="n"/>
      <c r="F340" s="27" t="n"/>
      <c r="G340" s="31" t="n"/>
      <c r="H340" s="45" t="n"/>
      <c r="I340" s="29">
        <f>IF(OR(B340="Buy",B340="Sell"),D340*E340*IF(EXACT(F340,"GBp"),0.01,1)/IF(G340="",1,G340),"")</f>
        <v/>
      </c>
      <c r="J340" s="45" t="n"/>
      <c r="K340" s="29">
        <f>IF(B340="","",IF(B340="Deposit",J340,IF(B340="Withdrawal",-J340,IF(B340="Buy",-(I340+H340),IF(B340="Sell",I340-H340,IF(B340="Dividend",J340,IF(B340="Fee",-J340,0)))))))</f>
        <v/>
      </c>
      <c r="L340" s="27" t="n"/>
    </row>
    <row r="341">
      <c r="A341" s="43" t="n"/>
      <c r="B341" s="27" t="n"/>
      <c r="C341" s="27" t="n"/>
      <c r="D341" s="44" t="n"/>
      <c r="E341" s="30" t="n"/>
      <c r="F341" s="27" t="n"/>
      <c r="G341" s="31" t="n"/>
      <c r="H341" s="45" t="n"/>
      <c r="I341" s="29">
        <f>IF(OR(B341="Buy",B341="Sell"),D341*E341*IF(EXACT(F341,"GBp"),0.01,1)/IF(G341="",1,G341),"")</f>
        <v/>
      </c>
      <c r="J341" s="45" t="n"/>
      <c r="K341" s="29">
        <f>IF(B341="","",IF(B341="Deposit",J341,IF(B341="Withdrawal",-J341,IF(B341="Buy",-(I341+H341),IF(B341="Sell",I341-H341,IF(B341="Dividend",J341,IF(B341="Fee",-J341,0)))))))</f>
        <v/>
      </c>
      <c r="L341" s="27" t="n"/>
    </row>
    <row r="342">
      <c r="A342" s="43" t="n"/>
      <c r="B342" s="27" t="n"/>
      <c r="C342" s="27" t="n"/>
      <c r="D342" s="44" t="n"/>
      <c r="E342" s="30" t="n"/>
      <c r="F342" s="27" t="n"/>
      <c r="G342" s="31" t="n"/>
      <c r="H342" s="45" t="n"/>
      <c r="I342" s="29">
        <f>IF(OR(B342="Buy",B342="Sell"),D342*E342*IF(EXACT(F342,"GBp"),0.01,1)/IF(G342="",1,G342),"")</f>
        <v/>
      </c>
      <c r="J342" s="45" t="n"/>
      <c r="K342" s="29">
        <f>IF(B342="","",IF(B342="Deposit",J342,IF(B342="Withdrawal",-J342,IF(B342="Buy",-(I342+H342),IF(B342="Sell",I342-H342,IF(B342="Dividend",J342,IF(B342="Fee",-J342,0)))))))</f>
        <v/>
      </c>
      <c r="L342" s="27" t="n"/>
    </row>
    <row r="343">
      <c r="A343" s="43" t="n"/>
      <c r="B343" s="27" t="n"/>
      <c r="C343" s="27" t="n"/>
      <c r="D343" s="44" t="n"/>
      <c r="E343" s="30" t="n"/>
      <c r="F343" s="27" t="n"/>
      <c r="G343" s="31" t="n"/>
      <c r="H343" s="45" t="n"/>
      <c r="I343" s="29">
        <f>IF(OR(B343="Buy",B343="Sell"),D343*E343*IF(EXACT(F343,"GBp"),0.01,1)/IF(G343="",1,G343),"")</f>
        <v/>
      </c>
      <c r="J343" s="45" t="n"/>
      <c r="K343" s="29">
        <f>IF(B343="","",IF(B343="Deposit",J343,IF(B343="Withdrawal",-J343,IF(B343="Buy",-(I343+H343),IF(B343="Sell",I343-H343,IF(B343="Dividend",J343,IF(B343="Fee",-J343,0)))))))</f>
        <v/>
      </c>
      <c r="L343" s="27" t="n"/>
    </row>
    <row r="344">
      <c r="A344" s="43" t="n"/>
      <c r="B344" s="27" t="n"/>
      <c r="C344" s="27" t="n"/>
      <c r="D344" s="44" t="n"/>
      <c r="E344" s="30" t="n"/>
      <c r="F344" s="27" t="n"/>
      <c r="G344" s="31" t="n"/>
      <c r="H344" s="45" t="n"/>
      <c r="I344" s="29">
        <f>IF(OR(B344="Buy",B344="Sell"),D344*E344*IF(EXACT(F344,"GBp"),0.01,1)/IF(G344="",1,G344),"")</f>
        <v/>
      </c>
      <c r="J344" s="45" t="n"/>
      <c r="K344" s="29">
        <f>IF(B344="","",IF(B344="Deposit",J344,IF(B344="Withdrawal",-J344,IF(B344="Buy",-(I344+H344),IF(B344="Sell",I344-H344,IF(B344="Dividend",J344,IF(B344="Fee",-J344,0)))))))</f>
        <v/>
      </c>
      <c r="L344" s="27" t="n"/>
    </row>
    <row r="345">
      <c r="A345" s="43" t="n"/>
      <c r="B345" s="27" t="n"/>
      <c r="C345" s="27" t="n"/>
      <c r="D345" s="44" t="n"/>
      <c r="E345" s="30" t="n"/>
      <c r="F345" s="27" t="n"/>
      <c r="G345" s="31" t="n"/>
      <c r="H345" s="45" t="n"/>
      <c r="I345" s="29">
        <f>IF(OR(B345="Buy",B345="Sell"),D345*E345*IF(EXACT(F345,"GBp"),0.01,1)/IF(G345="",1,G345),"")</f>
        <v/>
      </c>
      <c r="J345" s="45" t="n"/>
      <c r="K345" s="29">
        <f>IF(B345="","",IF(B345="Deposit",J345,IF(B345="Withdrawal",-J345,IF(B345="Buy",-(I345+H345),IF(B345="Sell",I345-H345,IF(B345="Dividend",J345,IF(B345="Fee",-J345,0)))))))</f>
        <v/>
      </c>
      <c r="L345" s="27" t="n"/>
    </row>
    <row r="346">
      <c r="A346" s="43" t="n"/>
      <c r="B346" s="27" t="n"/>
      <c r="C346" s="27" t="n"/>
      <c r="D346" s="44" t="n"/>
      <c r="E346" s="30" t="n"/>
      <c r="F346" s="27" t="n"/>
      <c r="G346" s="31" t="n"/>
      <c r="H346" s="45" t="n"/>
      <c r="I346" s="29">
        <f>IF(OR(B346="Buy",B346="Sell"),D346*E346*IF(EXACT(F346,"GBp"),0.01,1)/IF(G346="",1,G346),"")</f>
        <v/>
      </c>
      <c r="J346" s="45" t="n"/>
      <c r="K346" s="29">
        <f>IF(B346="","",IF(B346="Deposit",J346,IF(B346="Withdrawal",-J346,IF(B346="Buy",-(I346+H346),IF(B346="Sell",I346-H346,IF(B346="Dividend",J346,IF(B346="Fee",-J346,0)))))))</f>
        <v/>
      </c>
      <c r="L346" s="27" t="n"/>
    </row>
    <row r="347">
      <c r="A347" s="43" t="n"/>
      <c r="B347" s="27" t="n"/>
      <c r="C347" s="27" t="n"/>
      <c r="D347" s="44" t="n"/>
      <c r="E347" s="30" t="n"/>
      <c r="F347" s="27" t="n"/>
      <c r="G347" s="31" t="n"/>
      <c r="H347" s="45" t="n"/>
      <c r="I347" s="29">
        <f>IF(OR(B347="Buy",B347="Sell"),D347*E347*IF(EXACT(F347,"GBp"),0.01,1)/IF(G347="",1,G347),"")</f>
        <v/>
      </c>
      <c r="J347" s="45" t="n"/>
      <c r="K347" s="29">
        <f>IF(B347="","",IF(B347="Deposit",J347,IF(B347="Withdrawal",-J347,IF(B347="Buy",-(I347+H347),IF(B347="Sell",I347-H347,IF(B347="Dividend",J347,IF(B347="Fee",-J347,0)))))))</f>
        <v/>
      </c>
      <c r="L347" s="27" t="n"/>
    </row>
    <row r="348">
      <c r="A348" s="43" t="n"/>
      <c r="B348" s="27" t="n"/>
      <c r="C348" s="27" t="n"/>
      <c r="D348" s="44" t="n"/>
      <c r="E348" s="30" t="n"/>
      <c r="F348" s="27" t="n"/>
      <c r="G348" s="31" t="n"/>
      <c r="H348" s="45" t="n"/>
      <c r="I348" s="29">
        <f>IF(OR(B348="Buy",B348="Sell"),D348*E348*IF(EXACT(F348,"GBp"),0.01,1)/IF(G348="",1,G348),"")</f>
        <v/>
      </c>
      <c r="J348" s="45" t="n"/>
      <c r="K348" s="29">
        <f>IF(B348="","",IF(B348="Deposit",J348,IF(B348="Withdrawal",-J348,IF(B348="Buy",-(I348+H348),IF(B348="Sell",I348-H348,IF(B348="Dividend",J348,IF(B348="Fee",-J348,0)))))))</f>
        <v/>
      </c>
      <c r="L348" s="27" t="n"/>
    </row>
    <row r="349">
      <c r="A349" s="43" t="n"/>
      <c r="B349" s="27" t="n"/>
      <c r="C349" s="27" t="n"/>
      <c r="D349" s="44" t="n"/>
      <c r="E349" s="30" t="n"/>
      <c r="F349" s="27" t="n"/>
      <c r="G349" s="31" t="n"/>
      <c r="H349" s="45" t="n"/>
      <c r="I349" s="29">
        <f>IF(OR(B349="Buy",B349="Sell"),D349*E349*IF(EXACT(F349,"GBp"),0.01,1)/IF(G349="",1,G349),"")</f>
        <v/>
      </c>
      <c r="J349" s="45" t="n"/>
      <c r="K349" s="29">
        <f>IF(B349="","",IF(B349="Deposit",J349,IF(B349="Withdrawal",-J349,IF(B349="Buy",-(I349+H349),IF(B349="Sell",I349-H349,IF(B349="Dividend",J349,IF(B349="Fee",-J349,0)))))))</f>
        <v/>
      </c>
      <c r="L349" s="27" t="n"/>
    </row>
    <row r="350">
      <c r="A350" s="43" t="n"/>
      <c r="B350" s="27" t="n"/>
      <c r="C350" s="27" t="n"/>
      <c r="D350" s="44" t="n"/>
      <c r="E350" s="30" t="n"/>
      <c r="F350" s="27" t="n"/>
      <c r="G350" s="31" t="n"/>
      <c r="H350" s="45" t="n"/>
      <c r="I350" s="29">
        <f>IF(OR(B350="Buy",B350="Sell"),D350*E350*IF(EXACT(F350,"GBp"),0.01,1)/IF(G350="",1,G350),"")</f>
        <v/>
      </c>
      <c r="J350" s="45" t="n"/>
      <c r="K350" s="29">
        <f>IF(B350="","",IF(B350="Deposit",J350,IF(B350="Withdrawal",-J350,IF(B350="Buy",-(I350+H350),IF(B350="Sell",I350-H350,IF(B350="Dividend",J350,IF(B350="Fee",-J350,0)))))))</f>
        <v/>
      </c>
      <c r="L350" s="27" t="n"/>
    </row>
    <row r="351">
      <c r="A351" s="43" t="n"/>
      <c r="B351" s="27" t="n"/>
      <c r="C351" s="27" t="n"/>
      <c r="D351" s="44" t="n"/>
      <c r="E351" s="30" t="n"/>
      <c r="F351" s="27" t="n"/>
      <c r="G351" s="31" t="n"/>
      <c r="H351" s="45" t="n"/>
      <c r="I351" s="29">
        <f>IF(OR(B351="Buy",B351="Sell"),D351*E351*IF(EXACT(F351,"GBp"),0.01,1)/IF(G351="",1,G351),"")</f>
        <v/>
      </c>
      <c r="J351" s="45" t="n"/>
      <c r="K351" s="29">
        <f>IF(B351="","",IF(B351="Deposit",J351,IF(B351="Withdrawal",-J351,IF(B351="Buy",-(I351+H351),IF(B351="Sell",I351-H351,IF(B351="Dividend",J351,IF(B351="Fee",-J351,0)))))))</f>
        <v/>
      </c>
      <c r="L351" s="27" t="n"/>
    </row>
    <row r="352">
      <c r="A352" s="43" t="n"/>
      <c r="B352" s="27" t="n"/>
      <c r="C352" s="27" t="n"/>
      <c r="D352" s="44" t="n"/>
      <c r="E352" s="30" t="n"/>
      <c r="F352" s="27" t="n"/>
      <c r="G352" s="31" t="n"/>
      <c r="H352" s="45" t="n"/>
      <c r="I352" s="29">
        <f>IF(OR(B352="Buy",B352="Sell"),D352*E352*IF(EXACT(F352,"GBp"),0.01,1)/IF(G352="",1,G352),"")</f>
        <v/>
      </c>
      <c r="J352" s="45" t="n"/>
      <c r="K352" s="29">
        <f>IF(B352="","",IF(B352="Deposit",J352,IF(B352="Withdrawal",-J352,IF(B352="Buy",-(I352+H352),IF(B352="Sell",I352-H352,IF(B352="Dividend",J352,IF(B352="Fee",-J352,0)))))))</f>
        <v/>
      </c>
      <c r="L352" s="27" t="n"/>
    </row>
    <row r="353">
      <c r="A353" s="43" t="n"/>
      <c r="B353" s="27" t="n"/>
      <c r="C353" s="27" t="n"/>
      <c r="D353" s="44" t="n"/>
      <c r="E353" s="30" t="n"/>
      <c r="F353" s="27" t="n"/>
      <c r="G353" s="31" t="n"/>
      <c r="H353" s="45" t="n"/>
      <c r="I353" s="29">
        <f>IF(OR(B353="Buy",B353="Sell"),D353*E353*IF(EXACT(F353,"GBp"),0.01,1)/IF(G353="",1,G353),"")</f>
        <v/>
      </c>
      <c r="J353" s="45" t="n"/>
      <c r="K353" s="29">
        <f>IF(B353="","",IF(B353="Deposit",J353,IF(B353="Withdrawal",-J353,IF(B353="Buy",-(I353+H353),IF(B353="Sell",I353-H353,IF(B353="Dividend",J353,IF(B353="Fee",-J353,0)))))))</f>
        <v/>
      </c>
      <c r="L353" s="27" t="n"/>
    </row>
    <row r="354">
      <c r="A354" s="43" t="n"/>
      <c r="B354" s="27" t="n"/>
      <c r="C354" s="27" t="n"/>
      <c r="D354" s="44" t="n"/>
      <c r="E354" s="30" t="n"/>
      <c r="F354" s="27" t="n"/>
      <c r="G354" s="31" t="n"/>
      <c r="H354" s="45" t="n"/>
      <c r="I354" s="29">
        <f>IF(OR(B354="Buy",B354="Sell"),D354*E354*IF(EXACT(F354,"GBp"),0.01,1)/IF(G354="",1,G354),"")</f>
        <v/>
      </c>
      <c r="J354" s="45" t="n"/>
      <c r="K354" s="29">
        <f>IF(B354="","",IF(B354="Deposit",J354,IF(B354="Withdrawal",-J354,IF(B354="Buy",-(I354+H354),IF(B354="Sell",I354-H354,IF(B354="Dividend",J354,IF(B354="Fee",-J354,0)))))))</f>
        <v/>
      </c>
      <c r="L354" s="27" t="n"/>
    </row>
    <row r="355">
      <c r="A355" s="43" t="n"/>
      <c r="B355" s="27" t="n"/>
      <c r="C355" s="27" t="n"/>
      <c r="D355" s="44" t="n"/>
      <c r="E355" s="30" t="n"/>
      <c r="F355" s="27" t="n"/>
      <c r="G355" s="31" t="n"/>
      <c r="H355" s="45" t="n"/>
      <c r="I355" s="29">
        <f>IF(OR(B355="Buy",B355="Sell"),D355*E355*IF(EXACT(F355,"GBp"),0.01,1)/IF(G355="",1,G355),"")</f>
        <v/>
      </c>
      <c r="J355" s="45" t="n"/>
      <c r="K355" s="29">
        <f>IF(B355="","",IF(B355="Deposit",J355,IF(B355="Withdrawal",-J355,IF(B355="Buy",-(I355+H355),IF(B355="Sell",I355-H355,IF(B355="Dividend",J355,IF(B355="Fee",-J355,0)))))))</f>
        <v/>
      </c>
      <c r="L355" s="27" t="n"/>
    </row>
    <row r="356">
      <c r="A356" s="43" t="n"/>
      <c r="B356" s="27" t="n"/>
      <c r="C356" s="27" t="n"/>
      <c r="D356" s="44" t="n"/>
      <c r="E356" s="30" t="n"/>
      <c r="F356" s="27" t="n"/>
      <c r="G356" s="31" t="n"/>
      <c r="H356" s="45" t="n"/>
      <c r="I356" s="29">
        <f>IF(OR(B356="Buy",B356="Sell"),D356*E356*IF(EXACT(F356,"GBp"),0.01,1)/IF(G356="",1,G356),"")</f>
        <v/>
      </c>
      <c r="J356" s="45" t="n"/>
      <c r="K356" s="29">
        <f>IF(B356="","",IF(B356="Deposit",J356,IF(B356="Withdrawal",-J356,IF(B356="Buy",-(I356+H356),IF(B356="Sell",I356-H356,IF(B356="Dividend",J356,IF(B356="Fee",-J356,0)))))))</f>
        <v/>
      </c>
      <c r="L356" s="27" t="n"/>
    </row>
    <row r="357">
      <c r="A357" s="43" t="n"/>
      <c r="B357" s="27" t="n"/>
      <c r="C357" s="27" t="n"/>
      <c r="D357" s="44" t="n"/>
      <c r="E357" s="30" t="n"/>
      <c r="F357" s="27" t="n"/>
      <c r="G357" s="31" t="n"/>
      <c r="H357" s="45" t="n"/>
      <c r="I357" s="29">
        <f>IF(OR(B357="Buy",B357="Sell"),D357*E357*IF(EXACT(F357,"GBp"),0.01,1)/IF(G357="",1,G357),"")</f>
        <v/>
      </c>
      <c r="J357" s="45" t="n"/>
      <c r="K357" s="29">
        <f>IF(B357="","",IF(B357="Deposit",J357,IF(B357="Withdrawal",-J357,IF(B357="Buy",-(I357+H357),IF(B357="Sell",I357-H357,IF(B357="Dividend",J357,IF(B357="Fee",-J357,0)))))))</f>
        <v/>
      </c>
      <c r="L357" s="27" t="n"/>
    </row>
    <row r="358">
      <c r="A358" s="43" t="n"/>
      <c r="B358" s="27" t="n"/>
      <c r="C358" s="27" t="n"/>
      <c r="D358" s="44" t="n"/>
      <c r="E358" s="30" t="n"/>
      <c r="F358" s="27" t="n"/>
      <c r="G358" s="31" t="n"/>
      <c r="H358" s="45" t="n"/>
      <c r="I358" s="29">
        <f>IF(OR(B358="Buy",B358="Sell"),D358*E358*IF(EXACT(F358,"GBp"),0.01,1)/IF(G358="",1,G358),"")</f>
        <v/>
      </c>
      <c r="J358" s="45" t="n"/>
      <c r="K358" s="29">
        <f>IF(B358="","",IF(B358="Deposit",J358,IF(B358="Withdrawal",-J358,IF(B358="Buy",-(I358+H358),IF(B358="Sell",I358-H358,IF(B358="Dividend",J358,IF(B358="Fee",-J358,0)))))))</f>
        <v/>
      </c>
      <c r="L358" s="27" t="n"/>
    </row>
    <row r="359">
      <c r="A359" s="43" t="n"/>
      <c r="B359" s="27" t="n"/>
      <c r="C359" s="27" t="n"/>
      <c r="D359" s="44" t="n"/>
      <c r="E359" s="30" t="n"/>
      <c r="F359" s="27" t="n"/>
      <c r="G359" s="31" t="n"/>
      <c r="H359" s="45" t="n"/>
      <c r="I359" s="29">
        <f>IF(OR(B359="Buy",B359="Sell"),D359*E359*IF(EXACT(F359,"GBp"),0.01,1)/IF(G359="",1,G359),"")</f>
        <v/>
      </c>
      <c r="J359" s="45" t="n"/>
      <c r="K359" s="29">
        <f>IF(B359="","",IF(B359="Deposit",J359,IF(B359="Withdrawal",-J359,IF(B359="Buy",-(I359+H359),IF(B359="Sell",I359-H359,IF(B359="Dividend",J359,IF(B359="Fee",-J359,0)))))))</f>
        <v/>
      </c>
      <c r="L359" s="27" t="n"/>
    </row>
    <row r="360">
      <c r="A360" s="43" t="n"/>
      <c r="B360" s="27" t="n"/>
      <c r="C360" s="27" t="n"/>
      <c r="D360" s="44" t="n"/>
      <c r="E360" s="30" t="n"/>
      <c r="F360" s="27" t="n"/>
      <c r="G360" s="31" t="n"/>
      <c r="H360" s="45" t="n"/>
      <c r="I360" s="29">
        <f>IF(OR(B360="Buy",B360="Sell"),D360*E360*IF(EXACT(F360,"GBp"),0.01,1)/IF(G360="",1,G360),"")</f>
        <v/>
      </c>
      <c r="J360" s="45" t="n"/>
      <c r="K360" s="29">
        <f>IF(B360="","",IF(B360="Deposit",J360,IF(B360="Withdrawal",-J360,IF(B360="Buy",-(I360+H360),IF(B360="Sell",I360-H360,IF(B360="Dividend",J360,IF(B360="Fee",-J360,0)))))))</f>
        <v/>
      </c>
      <c r="L360" s="27" t="n"/>
    </row>
    <row r="361">
      <c r="A361" s="43" t="n"/>
      <c r="B361" s="27" t="n"/>
      <c r="C361" s="27" t="n"/>
      <c r="D361" s="44" t="n"/>
      <c r="E361" s="30" t="n"/>
      <c r="F361" s="27" t="n"/>
      <c r="G361" s="31" t="n"/>
      <c r="H361" s="45" t="n"/>
      <c r="I361" s="29">
        <f>IF(OR(B361="Buy",B361="Sell"),D361*E361*IF(EXACT(F361,"GBp"),0.01,1)/IF(G361="",1,G361),"")</f>
        <v/>
      </c>
      <c r="J361" s="45" t="n"/>
      <c r="K361" s="29">
        <f>IF(B361="","",IF(B361="Deposit",J361,IF(B361="Withdrawal",-J361,IF(B361="Buy",-(I361+H361),IF(B361="Sell",I361-H361,IF(B361="Dividend",J361,IF(B361="Fee",-J361,0)))))))</f>
        <v/>
      </c>
      <c r="L361" s="27" t="n"/>
    </row>
    <row r="362">
      <c r="A362" s="43" t="n"/>
      <c r="B362" s="27" t="n"/>
      <c r="C362" s="27" t="n"/>
      <c r="D362" s="44" t="n"/>
      <c r="E362" s="30" t="n"/>
      <c r="F362" s="27" t="n"/>
      <c r="G362" s="31" t="n"/>
      <c r="H362" s="45" t="n"/>
      <c r="I362" s="29">
        <f>IF(OR(B362="Buy",B362="Sell"),D362*E362*IF(EXACT(F362,"GBp"),0.01,1)/IF(G362="",1,G362),"")</f>
        <v/>
      </c>
      <c r="J362" s="45" t="n"/>
      <c r="K362" s="29">
        <f>IF(B362="","",IF(B362="Deposit",J362,IF(B362="Withdrawal",-J362,IF(B362="Buy",-(I362+H362),IF(B362="Sell",I362-H362,IF(B362="Dividend",J362,IF(B362="Fee",-J362,0)))))))</f>
        <v/>
      </c>
      <c r="L362" s="27" t="n"/>
    </row>
    <row r="363">
      <c r="A363" s="43" t="n"/>
      <c r="B363" s="27" t="n"/>
      <c r="C363" s="27" t="n"/>
      <c r="D363" s="44" t="n"/>
      <c r="E363" s="30" t="n"/>
      <c r="F363" s="27" t="n"/>
      <c r="G363" s="31" t="n"/>
      <c r="H363" s="45" t="n"/>
      <c r="I363" s="29">
        <f>IF(OR(B363="Buy",B363="Sell"),D363*E363*IF(EXACT(F363,"GBp"),0.01,1)/IF(G363="",1,G363),"")</f>
        <v/>
      </c>
      <c r="J363" s="45" t="n"/>
      <c r="K363" s="29">
        <f>IF(B363="","",IF(B363="Deposit",J363,IF(B363="Withdrawal",-J363,IF(B363="Buy",-(I363+H363),IF(B363="Sell",I363-H363,IF(B363="Dividend",J363,IF(B363="Fee",-J363,0)))))))</f>
        <v/>
      </c>
      <c r="L363" s="27" t="n"/>
    </row>
    <row r="364">
      <c r="A364" s="43" t="n"/>
      <c r="B364" s="27" t="n"/>
      <c r="C364" s="27" t="n"/>
      <c r="D364" s="44" t="n"/>
      <c r="E364" s="30" t="n"/>
      <c r="F364" s="27" t="n"/>
      <c r="G364" s="31" t="n"/>
      <c r="H364" s="45" t="n"/>
      <c r="I364" s="29">
        <f>IF(OR(B364="Buy",B364="Sell"),D364*E364*IF(EXACT(F364,"GBp"),0.01,1)/IF(G364="",1,G364),"")</f>
        <v/>
      </c>
      <c r="J364" s="45" t="n"/>
      <c r="K364" s="29">
        <f>IF(B364="","",IF(B364="Deposit",J364,IF(B364="Withdrawal",-J364,IF(B364="Buy",-(I364+H364),IF(B364="Sell",I364-H364,IF(B364="Dividend",J364,IF(B364="Fee",-J364,0)))))))</f>
        <v/>
      </c>
      <c r="L364" s="27" t="n"/>
    </row>
    <row r="365">
      <c r="A365" s="43" t="n"/>
      <c r="B365" s="27" t="n"/>
      <c r="C365" s="27" t="n"/>
      <c r="D365" s="44" t="n"/>
      <c r="E365" s="30" t="n"/>
      <c r="F365" s="27" t="n"/>
      <c r="G365" s="31" t="n"/>
      <c r="H365" s="45" t="n"/>
      <c r="I365" s="29">
        <f>IF(OR(B365="Buy",B365="Sell"),D365*E365*IF(EXACT(F365,"GBp"),0.01,1)/IF(G365="",1,G365),"")</f>
        <v/>
      </c>
      <c r="J365" s="45" t="n"/>
      <c r="K365" s="29">
        <f>IF(B365="","",IF(B365="Deposit",J365,IF(B365="Withdrawal",-J365,IF(B365="Buy",-(I365+H365),IF(B365="Sell",I365-H365,IF(B365="Dividend",J365,IF(B365="Fee",-J365,0)))))))</f>
        <v/>
      </c>
      <c r="L365" s="27" t="n"/>
    </row>
    <row r="366">
      <c r="A366" s="43" t="n"/>
      <c r="B366" s="27" t="n"/>
      <c r="C366" s="27" t="n"/>
      <c r="D366" s="44" t="n"/>
      <c r="E366" s="30" t="n"/>
      <c r="F366" s="27" t="n"/>
      <c r="G366" s="31" t="n"/>
      <c r="H366" s="45" t="n"/>
      <c r="I366" s="29">
        <f>IF(OR(B366="Buy",B366="Sell"),D366*E366*IF(EXACT(F366,"GBp"),0.01,1)/IF(G366="",1,G366),"")</f>
        <v/>
      </c>
      <c r="J366" s="45" t="n"/>
      <c r="K366" s="29">
        <f>IF(B366="","",IF(B366="Deposit",J366,IF(B366="Withdrawal",-J366,IF(B366="Buy",-(I366+H366),IF(B366="Sell",I366-H366,IF(B366="Dividend",J366,IF(B366="Fee",-J366,0)))))))</f>
        <v/>
      </c>
      <c r="L366" s="27" t="n"/>
    </row>
    <row r="367">
      <c r="A367" s="43" t="n"/>
      <c r="B367" s="27" t="n"/>
      <c r="C367" s="27" t="n"/>
      <c r="D367" s="44" t="n"/>
      <c r="E367" s="30" t="n"/>
      <c r="F367" s="27" t="n"/>
      <c r="G367" s="31" t="n"/>
      <c r="H367" s="45" t="n"/>
      <c r="I367" s="29">
        <f>IF(OR(B367="Buy",B367="Sell"),D367*E367*IF(EXACT(F367,"GBp"),0.01,1)/IF(G367="",1,G367),"")</f>
        <v/>
      </c>
      <c r="J367" s="45" t="n"/>
      <c r="K367" s="29">
        <f>IF(B367="","",IF(B367="Deposit",J367,IF(B367="Withdrawal",-J367,IF(B367="Buy",-(I367+H367),IF(B367="Sell",I367-H367,IF(B367="Dividend",J367,IF(B367="Fee",-J367,0)))))))</f>
        <v/>
      </c>
      <c r="L367" s="27" t="n"/>
    </row>
    <row r="368">
      <c r="A368" s="43" t="n"/>
      <c r="B368" s="27" t="n"/>
      <c r="C368" s="27" t="n"/>
      <c r="D368" s="44" t="n"/>
      <c r="E368" s="30" t="n"/>
      <c r="F368" s="27" t="n"/>
      <c r="G368" s="31" t="n"/>
      <c r="H368" s="45" t="n"/>
      <c r="I368" s="29">
        <f>IF(OR(B368="Buy",B368="Sell"),D368*E368*IF(EXACT(F368,"GBp"),0.01,1)/IF(G368="",1,G368),"")</f>
        <v/>
      </c>
      <c r="J368" s="45" t="n"/>
      <c r="K368" s="29">
        <f>IF(B368="","",IF(B368="Deposit",J368,IF(B368="Withdrawal",-J368,IF(B368="Buy",-(I368+H368),IF(B368="Sell",I368-H368,IF(B368="Dividend",J368,IF(B368="Fee",-J368,0)))))))</f>
        <v/>
      </c>
      <c r="L368" s="27" t="n"/>
    </row>
    <row r="369">
      <c r="A369" s="43" t="n"/>
      <c r="B369" s="27" t="n"/>
      <c r="C369" s="27" t="n"/>
      <c r="D369" s="44" t="n"/>
      <c r="E369" s="30" t="n"/>
      <c r="F369" s="27" t="n"/>
      <c r="G369" s="31" t="n"/>
      <c r="H369" s="45" t="n"/>
      <c r="I369" s="29">
        <f>IF(OR(B369="Buy",B369="Sell"),D369*E369*IF(EXACT(F369,"GBp"),0.01,1)/IF(G369="",1,G369),"")</f>
        <v/>
      </c>
      <c r="J369" s="45" t="n"/>
      <c r="K369" s="29">
        <f>IF(B369="","",IF(B369="Deposit",J369,IF(B369="Withdrawal",-J369,IF(B369="Buy",-(I369+H369),IF(B369="Sell",I369-H369,IF(B369="Dividend",J369,IF(B369="Fee",-J369,0)))))))</f>
        <v/>
      </c>
      <c r="L369" s="27" t="n"/>
    </row>
    <row r="370">
      <c r="A370" s="43" t="n"/>
      <c r="B370" s="27" t="n"/>
      <c r="C370" s="27" t="n"/>
      <c r="D370" s="44" t="n"/>
      <c r="E370" s="30" t="n"/>
      <c r="F370" s="27" t="n"/>
      <c r="G370" s="31" t="n"/>
      <c r="H370" s="45" t="n"/>
      <c r="I370" s="29">
        <f>IF(OR(B370="Buy",B370="Sell"),D370*E370*IF(EXACT(F370,"GBp"),0.01,1)/IF(G370="",1,G370),"")</f>
        <v/>
      </c>
      <c r="J370" s="45" t="n"/>
      <c r="K370" s="29">
        <f>IF(B370="","",IF(B370="Deposit",J370,IF(B370="Withdrawal",-J370,IF(B370="Buy",-(I370+H370),IF(B370="Sell",I370-H370,IF(B370="Dividend",J370,IF(B370="Fee",-J370,0)))))))</f>
        <v/>
      </c>
      <c r="L370" s="27" t="n"/>
    </row>
    <row r="371">
      <c r="A371" s="43" t="n"/>
      <c r="B371" s="27" t="n"/>
      <c r="C371" s="27" t="n"/>
      <c r="D371" s="44" t="n"/>
      <c r="E371" s="30" t="n"/>
      <c r="F371" s="27" t="n"/>
      <c r="G371" s="31" t="n"/>
      <c r="H371" s="45" t="n"/>
      <c r="I371" s="29">
        <f>IF(OR(B371="Buy",B371="Sell"),D371*E371*IF(EXACT(F371,"GBp"),0.01,1)/IF(G371="",1,G371),"")</f>
        <v/>
      </c>
      <c r="J371" s="45" t="n"/>
      <c r="K371" s="29">
        <f>IF(B371="","",IF(B371="Deposit",J371,IF(B371="Withdrawal",-J371,IF(B371="Buy",-(I371+H371),IF(B371="Sell",I371-H371,IF(B371="Dividend",J371,IF(B371="Fee",-J371,0)))))))</f>
        <v/>
      </c>
      <c r="L371" s="27" t="n"/>
    </row>
    <row r="372">
      <c r="A372" s="43" t="n"/>
      <c r="B372" s="27" t="n"/>
      <c r="C372" s="27" t="n"/>
      <c r="D372" s="44" t="n"/>
      <c r="E372" s="30" t="n"/>
      <c r="F372" s="27" t="n"/>
      <c r="G372" s="31" t="n"/>
      <c r="H372" s="45" t="n"/>
      <c r="I372" s="29">
        <f>IF(OR(B372="Buy",B372="Sell"),D372*E372*IF(EXACT(F372,"GBp"),0.01,1)/IF(G372="",1,G372),"")</f>
        <v/>
      </c>
      <c r="J372" s="45" t="n"/>
      <c r="K372" s="29">
        <f>IF(B372="","",IF(B372="Deposit",J372,IF(B372="Withdrawal",-J372,IF(B372="Buy",-(I372+H372),IF(B372="Sell",I372-H372,IF(B372="Dividend",J372,IF(B372="Fee",-J372,0)))))))</f>
        <v/>
      </c>
      <c r="L372" s="27" t="n"/>
    </row>
    <row r="373">
      <c r="A373" s="43" t="n"/>
      <c r="B373" s="27" t="n"/>
      <c r="C373" s="27" t="n"/>
      <c r="D373" s="44" t="n"/>
      <c r="E373" s="30" t="n"/>
      <c r="F373" s="27" t="n"/>
      <c r="G373" s="31" t="n"/>
      <c r="H373" s="45" t="n"/>
      <c r="I373" s="29">
        <f>IF(OR(B373="Buy",B373="Sell"),D373*E373*IF(EXACT(F373,"GBp"),0.01,1)/IF(G373="",1,G373),"")</f>
        <v/>
      </c>
      <c r="J373" s="45" t="n"/>
      <c r="K373" s="29">
        <f>IF(B373="","",IF(B373="Deposit",J373,IF(B373="Withdrawal",-J373,IF(B373="Buy",-(I373+H373),IF(B373="Sell",I373-H373,IF(B373="Dividend",J373,IF(B373="Fee",-J373,0)))))))</f>
        <v/>
      </c>
      <c r="L373" s="27" t="n"/>
    </row>
    <row r="374">
      <c r="A374" s="43" t="n"/>
      <c r="B374" s="27" t="n"/>
      <c r="C374" s="27" t="n"/>
      <c r="D374" s="44" t="n"/>
      <c r="E374" s="30" t="n"/>
      <c r="F374" s="27" t="n"/>
      <c r="G374" s="31" t="n"/>
      <c r="H374" s="45" t="n"/>
      <c r="I374" s="29">
        <f>IF(OR(B374="Buy",B374="Sell"),D374*E374*IF(EXACT(F374,"GBp"),0.01,1)/IF(G374="",1,G374),"")</f>
        <v/>
      </c>
      <c r="J374" s="45" t="n"/>
      <c r="K374" s="29">
        <f>IF(B374="","",IF(B374="Deposit",J374,IF(B374="Withdrawal",-J374,IF(B374="Buy",-(I374+H374),IF(B374="Sell",I374-H374,IF(B374="Dividend",J374,IF(B374="Fee",-J374,0)))))))</f>
        <v/>
      </c>
      <c r="L374" s="27" t="n"/>
    </row>
    <row r="375">
      <c r="A375" s="43" t="n"/>
      <c r="B375" s="27" t="n"/>
      <c r="C375" s="27" t="n"/>
      <c r="D375" s="44" t="n"/>
      <c r="E375" s="30" t="n"/>
      <c r="F375" s="27" t="n"/>
      <c r="G375" s="31" t="n"/>
      <c r="H375" s="45" t="n"/>
      <c r="I375" s="29">
        <f>IF(OR(B375="Buy",B375="Sell"),D375*E375*IF(EXACT(F375,"GBp"),0.01,1)/IF(G375="",1,G375),"")</f>
        <v/>
      </c>
      <c r="J375" s="45" t="n"/>
      <c r="K375" s="29">
        <f>IF(B375="","",IF(B375="Deposit",J375,IF(B375="Withdrawal",-J375,IF(B375="Buy",-(I375+H375),IF(B375="Sell",I375-H375,IF(B375="Dividend",J375,IF(B375="Fee",-J375,0)))))))</f>
        <v/>
      </c>
      <c r="L375" s="27" t="n"/>
    </row>
    <row r="376">
      <c r="A376" s="43" t="n"/>
      <c r="B376" s="27" t="n"/>
      <c r="C376" s="27" t="n"/>
      <c r="D376" s="44" t="n"/>
      <c r="E376" s="30" t="n"/>
      <c r="F376" s="27" t="n"/>
      <c r="G376" s="31" t="n"/>
      <c r="H376" s="45" t="n"/>
      <c r="I376" s="29">
        <f>IF(OR(B376="Buy",B376="Sell"),D376*E376*IF(EXACT(F376,"GBp"),0.01,1)/IF(G376="",1,G376),"")</f>
        <v/>
      </c>
      <c r="J376" s="45" t="n"/>
      <c r="K376" s="29">
        <f>IF(B376="","",IF(B376="Deposit",J376,IF(B376="Withdrawal",-J376,IF(B376="Buy",-(I376+H376),IF(B376="Sell",I376-H376,IF(B376="Dividend",J376,IF(B376="Fee",-J376,0)))))))</f>
        <v/>
      </c>
      <c r="L376" s="27" t="n"/>
    </row>
    <row r="377">
      <c r="A377" s="43" t="n"/>
      <c r="B377" s="27" t="n"/>
      <c r="C377" s="27" t="n"/>
      <c r="D377" s="44" t="n"/>
      <c r="E377" s="30" t="n"/>
      <c r="F377" s="27" t="n"/>
      <c r="G377" s="31" t="n"/>
      <c r="H377" s="45" t="n"/>
      <c r="I377" s="29">
        <f>IF(OR(B377="Buy",B377="Sell"),D377*E377*IF(EXACT(F377,"GBp"),0.01,1)/IF(G377="",1,G377),"")</f>
        <v/>
      </c>
      <c r="J377" s="45" t="n"/>
      <c r="K377" s="29">
        <f>IF(B377="","",IF(B377="Deposit",J377,IF(B377="Withdrawal",-J377,IF(B377="Buy",-(I377+H377),IF(B377="Sell",I377-H377,IF(B377="Dividend",J377,IF(B377="Fee",-J377,0)))))))</f>
        <v/>
      </c>
      <c r="L377" s="27" t="n"/>
    </row>
    <row r="378">
      <c r="A378" s="43" t="n"/>
      <c r="B378" s="27" t="n"/>
      <c r="C378" s="27" t="n"/>
      <c r="D378" s="44" t="n"/>
      <c r="E378" s="30" t="n"/>
      <c r="F378" s="27" t="n"/>
      <c r="G378" s="31" t="n"/>
      <c r="H378" s="45" t="n"/>
      <c r="I378" s="29">
        <f>IF(OR(B378="Buy",B378="Sell"),D378*E378*IF(EXACT(F378,"GBp"),0.01,1)/IF(G378="",1,G378),"")</f>
        <v/>
      </c>
      <c r="J378" s="45" t="n"/>
      <c r="K378" s="29">
        <f>IF(B378="","",IF(B378="Deposit",J378,IF(B378="Withdrawal",-J378,IF(B378="Buy",-(I378+H378),IF(B378="Sell",I378-H378,IF(B378="Dividend",J378,IF(B378="Fee",-J378,0)))))))</f>
        <v/>
      </c>
      <c r="L378" s="27" t="n"/>
    </row>
    <row r="379">
      <c r="A379" s="43" t="n"/>
      <c r="B379" s="27" t="n"/>
      <c r="C379" s="27" t="n"/>
      <c r="D379" s="44" t="n"/>
      <c r="E379" s="30" t="n"/>
      <c r="F379" s="27" t="n"/>
      <c r="G379" s="31" t="n"/>
      <c r="H379" s="45" t="n"/>
      <c r="I379" s="29">
        <f>IF(OR(B379="Buy",B379="Sell"),D379*E379*IF(EXACT(F379,"GBp"),0.01,1)/IF(G379="",1,G379),"")</f>
        <v/>
      </c>
      <c r="J379" s="45" t="n"/>
      <c r="K379" s="29">
        <f>IF(B379="","",IF(B379="Deposit",J379,IF(B379="Withdrawal",-J379,IF(B379="Buy",-(I379+H379),IF(B379="Sell",I379-H379,IF(B379="Dividend",J379,IF(B379="Fee",-J379,0)))))))</f>
        <v/>
      </c>
      <c r="L379" s="27" t="n"/>
    </row>
    <row r="380">
      <c r="A380" s="43" t="n"/>
      <c r="B380" s="27" t="n"/>
      <c r="C380" s="27" t="n"/>
      <c r="D380" s="44" t="n"/>
      <c r="E380" s="30" t="n"/>
      <c r="F380" s="27" t="n"/>
      <c r="G380" s="31" t="n"/>
      <c r="H380" s="45" t="n"/>
      <c r="I380" s="29">
        <f>IF(OR(B380="Buy",B380="Sell"),D380*E380*IF(EXACT(F380,"GBp"),0.01,1)/IF(G380="",1,G380),"")</f>
        <v/>
      </c>
      <c r="J380" s="45" t="n"/>
      <c r="K380" s="29">
        <f>IF(B380="","",IF(B380="Deposit",J380,IF(B380="Withdrawal",-J380,IF(B380="Buy",-(I380+H380),IF(B380="Sell",I380-H380,IF(B380="Dividend",J380,IF(B380="Fee",-J380,0)))))))</f>
        <v/>
      </c>
      <c r="L380" s="27" t="n"/>
    </row>
    <row r="381">
      <c r="A381" s="43" t="n"/>
      <c r="B381" s="27" t="n"/>
      <c r="C381" s="27" t="n"/>
      <c r="D381" s="44" t="n"/>
      <c r="E381" s="30" t="n"/>
      <c r="F381" s="27" t="n"/>
      <c r="G381" s="31" t="n"/>
      <c r="H381" s="45" t="n"/>
      <c r="I381" s="29">
        <f>IF(OR(B381="Buy",B381="Sell"),D381*E381*IF(EXACT(F381,"GBp"),0.01,1)/IF(G381="",1,G381),"")</f>
        <v/>
      </c>
      <c r="J381" s="45" t="n"/>
      <c r="K381" s="29">
        <f>IF(B381="","",IF(B381="Deposit",J381,IF(B381="Withdrawal",-J381,IF(B381="Buy",-(I381+H381),IF(B381="Sell",I381-H381,IF(B381="Dividend",J381,IF(B381="Fee",-J381,0)))))))</f>
        <v/>
      </c>
      <c r="L381" s="27" t="n"/>
    </row>
    <row r="382">
      <c r="A382" s="43" t="n"/>
      <c r="B382" s="27" t="n"/>
      <c r="C382" s="27" t="n"/>
      <c r="D382" s="44" t="n"/>
      <c r="E382" s="30" t="n"/>
      <c r="F382" s="27" t="n"/>
      <c r="G382" s="31" t="n"/>
      <c r="H382" s="45" t="n"/>
      <c r="I382" s="29">
        <f>IF(OR(B382="Buy",B382="Sell"),D382*E382*IF(EXACT(F382,"GBp"),0.01,1)/IF(G382="",1,G382),"")</f>
        <v/>
      </c>
      <c r="J382" s="45" t="n"/>
      <c r="K382" s="29">
        <f>IF(B382="","",IF(B382="Deposit",J382,IF(B382="Withdrawal",-J382,IF(B382="Buy",-(I382+H382),IF(B382="Sell",I382-H382,IF(B382="Dividend",J382,IF(B382="Fee",-J382,0)))))))</f>
        <v/>
      </c>
      <c r="L382" s="27" t="n"/>
    </row>
    <row r="383">
      <c r="A383" s="43" t="n"/>
      <c r="B383" s="27" t="n"/>
      <c r="C383" s="27" t="n"/>
      <c r="D383" s="44" t="n"/>
      <c r="E383" s="30" t="n"/>
      <c r="F383" s="27" t="n"/>
      <c r="G383" s="31" t="n"/>
      <c r="H383" s="45" t="n"/>
      <c r="I383" s="29">
        <f>IF(OR(B383="Buy",B383="Sell"),D383*E383*IF(EXACT(F383,"GBp"),0.01,1)/IF(G383="",1,G383),"")</f>
        <v/>
      </c>
      <c r="J383" s="45" t="n"/>
      <c r="K383" s="29">
        <f>IF(B383="","",IF(B383="Deposit",J383,IF(B383="Withdrawal",-J383,IF(B383="Buy",-(I383+H383),IF(B383="Sell",I383-H383,IF(B383="Dividend",J383,IF(B383="Fee",-J383,0)))))))</f>
        <v/>
      </c>
      <c r="L383" s="27" t="n"/>
    </row>
    <row r="384">
      <c r="A384" s="43" t="n"/>
      <c r="B384" s="27" t="n"/>
      <c r="C384" s="27" t="n"/>
      <c r="D384" s="44" t="n"/>
      <c r="E384" s="30" t="n"/>
      <c r="F384" s="27" t="n"/>
      <c r="G384" s="31" t="n"/>
      <c r="H384" s="45" t="n"/>
      <c r="I384" s="29">
        <f>IF(OR(B384="Buy",B384="Sell"),D384*E384*IF(EXACT(F384,"GBp"),0.01,1)/IF(G384="",1,G384),"")</f>
        <v/>
      </c>
      <c r="J384" s="45" t="n"/>
      <c r="K384" s="29">
        <f>IF(B384="","",IF(B384="Deposit",J384,IF(B384="Withdrawal",-J384,IF(B384="Buy",-(I384+H384),IF(B384="Sell",I384-H384,IF(B384="Dividend",J384,IF(B384="Fee",-J384,0)))))))</f>
        <v/>
      </c>
      <c r="L384" s="27" t="n"/>
    </row>
    <row r="385">
      <c r="A385" s="43" t="n"/>
      <c r="B385" s="27" t="n"/>
      <c r="C385" s="27" t="n"/>
      <c r="D385" s="44" t="n"/>
      <c r="E385" s="30" t="n"/>
      <c r="F385" s="27" t="n"/>
      <c r="G385" s="31" t="n"/>
      <c r="H385" s="45" t="n"/>
      <c r="I385" s="29">
        <f>IF(OR(B385="Buy",B385="Sell"),D385*E385*IF(EXACT(F385,"GBp"),0.01,1)/IF(G385="",1,G385),"")</f>
        <v/>
      </c>
      <c r="J385" s="45" t="n"/>
      <c r="K385" s="29">
        <f>IF(B385="","",IF(B385="Deposit",J385,IF(B385="Withdrawal",-J385,IF(B385="Buy",-(I385+H385),IF(B385="Sell",I385-H385,IF(B385="Dividend",J385,IF(B385="Fee",-J385,0)))))))</f>
        <v/>
      </c>
      <c r="L385" s="27" t="n"/>
    </row>
    <row r="386">
      <c r="A386" s="43" t="n"/>
      <c r="B386" s="27" t="n"/>
      <c r="C386" s="27" t="n"/>
      <c r="D386" s="44" t="n"/>
      <c r="E386" s="30" t="n"/>
      <c r="F386" s="27" t="n"/>
      <c r="G386" s="31" t="n"/>
      <c r="H386" s="45" t="n"/>
      <c r="I386" s="29">
        <f>IF(OR(B386="Buy",B386="Sell"),D386*E386*IF(EXACT(F386,"GBp"),0.01,1)/IF(G386="",1,G386),"")</f>
        <v/>
      </c>
      <c r="J386" s="45" t="n"/>
      <c r="K386" s="29">
        <f>IF(B386="","",IF(B386="Deposit",J386,IF(B386="Withdrawal",-J386,IF(B386="Buy",-(I386+H386),IF(B386="Sell",I386-H386,IF(B386="Dividend",J386,IF(B386="Fee",-J386,0)))))))</f>
        <v/>
      </c>
      <c r="L386" s="27" t="n"/>
    </row>
    <row r="387">
      <c r="A387" s="43" t="n"/>
      <c r="B387" s="27" t="n"/>
      <c r="C387" s="27" t="n"/>
      <c r="D387" s="44" t="n"/>
      <c r="E387" s="30" t="n"/>
      <c r="F387" s="27" t="n"/>
      <c r="G387" s="31" t="n"/>
      <c r="H387" s="45" t="n"/>
      <c r="I387" s="29">
        <f>IF(OR(B387="Buy",B387="Sell"),D387*E387*IF(EXACT(F387,"GBp"),0.01,1)/IF(G387="",1,G387),"")</f>
        <v/>
      </c>
      <c r="J387" s="45" t="n"/>
      <c r="K387" s="29">
        <f>IF(B387="","",IF(B387="Deposit",J387,IF(B387="Withdrawal",-J387,IF(B387="Buy",-(I387+H387),IF(B387="Sell",I387-H387,IF(B387="Dividend",J387,IF(B387="Fee",-J387,0)))))))</f>
        <v/>
      </c>
      <c r="L387" s="27" t="n"/>
    </row>
    <row r="388">
      <c r="A388" s="43" t="n"/>
      <c r="B388" s="27" t="n"/>
      <c r="C388" s="27" t="n"/>
      <c r="D388" s="44" t="n"/>
      <c r="E388" s="30" t="n"/>
      <c r="F388" s="27" t="n"/>
      <c r="G388" s="31" t="n"/>
      <c r="H388" s="45" t="n"/>
      <c r="I388" s="29">
        <f>IF(OR(B388="Buy",B388="Sell"),D388*E388*IF(EXACT(F388,"GBp"),0.01,1)/IF(G388="",1,G388),"")</f>
        <v/>
      </c>
      <c r="J388" s="45" t="n"/>
      <c r="K388" s="29">
        <f>IF(B388="","",IF(B388="Deposit",J388,IF(B388="Withdrawal",-J388,IF(B388="Buy",-(I388+H388),IF(B388="Sell",I388-H388,IF(B388="Dividend",J388,IF(B388="Fee",-J388,0)))))))</f>
        <v/>
      </c>
      <c r="L388" s="27" t="n"/>
    </row>
    <row r="389">
      <c r="A389" s="43" t="n"/>
      <c r="B389" s="27" t="n"/>
      <c r="C389" s="27" t="n"/>
      <c r="D389" s="44" t="n"/>
      <c r="E389" s="30" t="n"/>
      <c r="F389" s="27" t="n"/>
      <c r="G389" s="31" t="n"/>
      <c r="H389" s="45" t="n"/>
      <c r="I389" s="29">
        <f>IF(OR(B389="Buy",B389="Sell"),D389*E389*IF(EXACT(F389,"GBp"),0.01,1)/IF(G389="",1,G389),"")</f>
        <v/>
      </c>
      <c r="J389" s="45" t="n"/>
      <c r="K389" s="29">
        <f>IF(B389="","",IF(B389="Deposit",J389,IF(B389="Withdrawal",-J389,IF(B389="Buy",-(I389+H389),IF(B389="Sell",I389-H389,IF(B389="Dividend",J389,IF(B389="Fee",-J389,0)))))))</f>
        <v/>
      </c>
      <c r="L389" s="27" t="n"/>
    </row>
    <row r="390">
      <c r="A390" s="43" t="n"/>
      <c r="B390" s="27" t="n"/>
      <c r="C390" s="27" t="n"/>
      <c r="D390" s="44" t="n"/>
      <c r="E390" s="30" t="n"/>
      <c r="F390" s="27" t="n"/>
      <c r="G390" s="31" t="n"/>
      <c r="H390" s="45" t="n"/>
      <c r="I390" s="29">
        <f>IF(OR(B390="Buy",B390="Sell"),D390*E390*IF(EXACT(F390,"GBp"),0.01,1)/IF(G390="",1,G390),"")</f>
        <v/>
      </c>
      <c r="J390" s="45" t="n"/>
      <c r="K390" s="29">
        <f>IF(B390="","",IF(B390="Deposit",J390,IF(B390="Withdrawal",-J390,IF(B390="Buy",-(I390+H390),IF(B390="Sell",I390-H390,IF(B390="Dividend",J390,IF(B390="Fee",-J390,0)))))))</f>
        <v/>
      </c>
      <c r="L390" s="27" t="n"/>
    </row>
    <row r="391">
      <c r="A391" s="43" t="n"/>
      <c r="B391" s="27" t="n"/>
      <c r="C391" s="27" t="n"/>
      <c r="D391" s="44" t="n"/>
      <c r="E391" s="30" t="n"/>
      <c r="F391" s="27" t="n"/>
      <c r="G391" s="31" t="n"/>
      <c r="H391" s="45" t="n"/>
      <c r="I391" s="29">
        <f>IF(OR(B391="Buy",B391="Sell"),D391*E391*IF(EXACT(F391,"GBp"),0.01,1)/IF(G391="",1,G391),"")</f>
        <v/>
      </c>
      <c r="J391" s="45" t="n"/>
      <c r="K391" s="29">
        <f>IF(B391="","",IF(B391="Deposit",J391,IF(B391="Withdrawal",-J391,IF(B391="Buy",-(I391+H391),IF(B391="Sell",I391-H391,IF(B391="Dividend",J391,IF(B391="Fee",-J391,0)))))))</f>
        <v/>
      </c>
      <c r="L391" s="27" t="n"/>
    </row>
    <row r="392">
      <c r="A392" s="43" t="n"/>
      <c r="B392" s="27" t="n"/>
      <c r="C392" s="27" t="n"/>
      <c r="D392" s="44" t="n"/>
      <c r="E392" s="30" t="n"/>
      <c r="F392" s="27" t="n"/>
      <c r="G392" s="31" t="n"/>
      <c r="H392" s="45" t="n"/>
      <c r="I392" s="29">
        <f>IF(OR(B392="Buy",B392="Sell"),D392*E392*IF(EXACT(F392,"GBp"),0.01,1)/IF(G392="",1,G392),"")</f>
        <v/>
      </c>
      <c r="J392" s="45" t="n"/>
      <c r="K392" s="29">
        <f>IF(B392="","",IF(B392="Deposit",J392,IF(B392="Withdrawal",-J392,IF(B392="Buy",-(I392+H392),IF(B392="Sell",I392-H392,IF(B392="Dividend",J392,IF(B392="Fee",-J392,0)))))))</f>
        <v/>
      </c>
      <c r="L392" s="27" t="n"/>
    </row>
    <row r="393">
      <c r="A393" s="43" t="n"/>
      <c r="B393" s="27" t="n"/>
      <c r="C393" s="27" t="n"/>
      <c r="D393" s="44" t="n"/>
      <c r="E393" s="30" t="n"/>
      <c r="F393" s="27" t="n"/>
      <c r="G393" s="31" t="n"/>
      <c r="H393" s="45" t="n"/>
      <c r="I393" s="29">
        <f>IF(OR(B393="Buy",B393="Sell"),D393*E393*IF(EXACT(F393,"GBp"),0.01,1)/IF(G393="",1,G393),"")</f>
        <v/>
      </c>
      <c r="J393" s="45" t="n"/>
      <c r="K393" s="29">
        <f>IF(B393="","",IF(B393="Deposit",J393,IF(B393="Withdrawal",-J393,IF(B393="Buy",-(I393+H393),IF(B393="Sell",I393-H393,IF(B393="Dividend",J393,IF(B393="Fee",-J393,0)))))))</f>
        <v/>
      </c>
      <c r="L393" s="27" t="n"/>
    </row>
    <row r="394">
      <c r="A394" s="43" t="n"/>
      <c r="B394" s="27" t="n"/>
      <c r="C394" s="27" t="n"/>
      <c r="D394" s="44" t="n"/>
      <c r="E394" s="30" t="n"/>
      <c r="F394" s="27" t="n"/>
      <c r="G394" s="31" t="n"/>
      <c r="H394" s="45" t="n"/>
      <c r="I394" s="29">
        <f>IF(OR(B394="Buy",B394="Sell"),D394*E394*IF(EXACT(F394,"GBp"),0.01,1)/IF(G394="",1,G394),"")</f>
        <v/>
      </c>
      <c r="J394" s="45" t="n"/>
      <c r="K394" s="29">
        <f>IF(B394="","",IF(B394="Deposit",J394,IF(B394="Withdrawal",-J394,IF(B394="Buy",-(I394+H394),IF(B394="Sell",I394-H394,IF(B394="Dividend",J394,IF(B394="Fee",-J394,0)))))))</f>
        <v/>
      </c>
      <c r="L394" s="27" t="n"/>
    </row>
    <row r="395">
      <c r="A395" s="43" t="n"/>
      <c r="B395" s="27" t="n"/>
      <c r="C395" s="27" t="n"/>
      <c r="D395" s="44" t="n"/>
      <c r="E395" s="30" t="n"/>
      <c r="F395" s="27" t="n"/>
      <c r="G395" s="31" t="n"/>
      <c r="H395" s="45" t="n"/>
      <c r="I395" s="29">
        <f>IF(OR(B395="Buy",B395="Sell"),D395*E395*IF(EXACT(F395,"GBp"),0.01,1)/IF(G395="",1,G395),"")</f>
        <v/>
      </c>
      <c r="J395" s="45" t="n"/>
      <c r="K395" s="29">
        <f>IF(B395="","",IF(B395="Deposit",J395,IF(B395="Withdrawal",-J395,IF(B395="Buy",-(I395+H395),IF(B395="Sell",I395-H395,IF(B395="Dividend",J395,IF(B395="Fee",-J395,0)))))))</f>
        <v/>
      </c>
      <c r="L395" s="27" t="n"/>
    </row>
    <row r="396">
      <c r="A396" s="43" t="n"/>
      <c r="B396" s="27" t="n"/>
      <c r="C396" s="27" t="n"/>
      <c r="D396" s="44" t="n"/>
      <c r="E396" s="30" t="n"/>
      <c r="F396" s="27" t="n"/>
      <c r="G396" s="31" t="n"/>
      <c r="H396" s="45" t="n"/>
      <c r="I396" s="29">
        <f>IF(OR(B396="Buy",B396="Sell"),D396*E396*IF(EXACT(F396,"GBp"),0.01,1)/IF(G396="",1,G396),"")</f>
        <v/>
      </c>
      <c r="J396" s="45" t="n"/>
      <c r="K396" s="29">
        <f>IF(B396="","",IF(B396="Deposit",J396,IF(B396="Withdrawal",-J396,IF(B396="Buy",-(I396+H396),IF(B396="Sell",I396-H396,IF(B396="Dividend",J396,IF(B396="Fee",-J396,0)))))))</f>
        <v/>
      </c>
      <c r="L396" s="27" t="n"/>
    </row>
    <row r="397">
      <c r="A397" s="43" t="n"/>
      <c r="B397" s="27" t="n"/>
      <c r="C397" s="27" t="n"/>
      <c r="D397" s="44" t="n"/>
      <c r="E397" s="30" t="n"/>
      <c r="F397" s="27" t="n"/>
      <c r="G397" s="31" t="n"/>
      <c r="H397" s="45" t="n"/>
      <c r="I397" s="29">
        <f>IF(OR(B397="Buy",B397="Sell"),D397*E397*IF(EXACT(F397,"GBp"),0.01,1)/IF(G397="",1,G397),"")</f>
        <v/>
      </c>
      <c r="J397" s="45" t="n"/>
      <c r="K397" s="29">
        <f>IF(B397="","",IF(B397="Deposit",J397,IF(B397="Withdrawal",-J397,IF(B397="Buy",-(I397+H397),IF(B397="Sell",I397-H397,IF(B397="Dividend",J397,IF(B397="Fee",-J397,0)))))))</f>
        <v/>
      </c>
      <c r="L397" s="27" t="n"/>
    </row>
    <row r="398">
      <c r="A398" s="43" t="n"/>
      <c r="B398" s="27" t="n"/>
      <c r="C398" s="27" t="n"/>
      <c r="D398" s="44" t="n"/>
      <c r="E398" s="30" t="n"/>
      <c r="F398" s="27" t="n"/>
      <c r="G398" s="31" t="n"/>
      <c r="H398" s="45" t="n"/>
      <c r="I398" s="29">
        <f>IF(OR(B398="Buy",B398="Sell"),D398*E398*IF(EXACT(F398,"GBp"),0.01,1)/IF(G398="",1,G398),"")</f>
        <v/>
      </c>
      <c r="J398" s="45" t="n"/>
      <c r="K398" s="29">
        <f>IF(B398="","",IF(B398="Deposit",J398,IF(B398="Withdrawal",-J398,IF(B398="Buy",-(I398+H398),IF(B398="Sell",I398-H398,IF(B398="Dividend",J398,IF(B398="Fee",-J398,0)))))))</f>
        <v/>
      </c>
      <c r="L398" s="27" t="n"/>
    </row>
    <row r="399">
      <c r="A399" s="43" t="n"/>
      <c r="B399" s="27" t="n"/>
      <c r="C399" s="27" t="n"/>
      <c r="D399" s="44" t="n"/>
      <c r="E399" s="30" t="n"/>
      <c r="F399" s="27" t="n"/>
      <c r="G399" s="31" t="n"/>
      <c r="H399" s="45" t="n"/>
      <c r="I399" s="29">
        <f>IF(OR(B399="Buy",B399="Sell"),D399*E399*IF(EXACT(F399,"GBp"),0.01,1)/IF(G399="",1,G399),"")</f>
        <v/>
      </c>
      <c r="J399" s="45" t="n"/>
      <c r="K399" s="29">
        <f>IF(B399="","",IF(B399="Deposit",J399,IF(B399="Withdrawal",-J399,IF(B399="Buy",-(I399+H399),IF(B399="Sell",I399-H399,IF(B399="Dividend",J399,IF(B399="Fee",-J399,0)))))))</f>
        <v/>
      </c>
      <c r="L399" s="27" t="n"/>
    </row>
    <row r="400">
      <c r="A400" s="43" t="n"/>
      <c r="B400" s="27" t="n"/>
      <c r="C400" s="27" t="n"/>
      <c r="D400" s="44" t="n"/>
      <c r="E400" s="30" t="n"/>
      <c r="F400" s="27" t="n"/>
      <c r="G400" s="31" t="n"/>
      <c r="H400" s="45" t="n"/>
      <c r="I400" s="29">
        <f>IF(OR(B400="Buy",B400="Sell"),D400*E400*IF(EXACT(F400,"GBp"),0.01,1)/IF(G400="",1,G400),"")</f>
        <v/>
      </c>
      <c r="J400" s="45" t="n"/>
      <c r="K400" s="29">
        <f>IF(B400="","",IF(B400="Deposit",J400,IF(B400="Withdrawal",-J400,IF(B400="Buy",-(I400+H400),IF(B400="Sell",I400-H400,IF(B400="Dividend",J400,IF(B400="Fee",-J400,0)))))))</f>
        <v/>
      </c>
      <c r="L400" s="27" t="n"/>
    </row>
    <row r="401">
      <c r="A401" s="43" t="n"/>
      <c r="B401" s="27" t="n"/>
      <c r="C401" s="27" t="n"/>
      <c r="D401" s="44" t="n"/>
      <c r="E401" s="30" t="n"/>
      <c r="F401" s="27" t="n"/>
      <c r="G401" s="31" t="n"/>
      <c r="H401" s="45" t="n"/>
      <c r="I401" s="29">
        <f>IF(OR(B401="Buy",B401="Sell"),D401*E401*IF(EXACT(F401,"GBp"),0.01,1)/IF(G401="",1,G401),"")</f>
        <v/>
      </c>
      <c r="J401" s="45" t="n"/>
      <c r="K401" s="29">
        <f>IF(B401="","",IF(B401="Deposit",J401,IF(B401="Withdrawal",-J401,IF(B401="Buy",-(I401+H401),IF(B401="Sell",I401-H401,IF(B401="Dividend",J401,IF(B401="Fee",-J401,0)))))))</f>
        <v/>
      </c>
      <c r="L401" s="27" t="n"/>
    </row>
    <row r="402">
      <c r="A402" s="43" t="n"/>
      <c r="B402" s="27" t="n"/>
      <c r="C402" s="27" t="n"/>
      <c r="D402" s="44" t="n"/>
      <c r="E402" s="30" t="n"/>
      <c r="F402" s="27" t="n"/>
      <c r="G402" s="31" t="n"/>
      <c r="H402" s="45" t="n"/>
      <c r="I402" s="29">
        <f>IF(OR(B402="Buy",B402="Sell"),D402*E402*IF(EXACT(F402,"GBp"),0.01,1)/IF(G402="",1,G402),"")</f>
        <v/>
      </c>
      <c r="J402" s="45" t="n"/>
      <c r="K402" s="29">
        <f>IF(B402="","",IF(B402="Deposit",J402,IF(B402="Withdrawal",-J402,IF(B402="Buy",-(I402+H402),IF(B402="Sell",I402-H402,IF(B402="Dividend",J402,IF(B402="Fee",-J402,0)))))))</f>
        <v/>
      </c>
      <c r="L402" s="27" t="n"/>
    </row>
    <row r="403">
      <c r="A403" s="43" t="n"/>
      <c r="B403" s="27" t="n"/>
      <c r="C403" s="27" t="n"/>
      <c r="D403" s="44" t="n"/>
      <c r="E403" s="30" t="n"/>
      <c r="F403" s="27" t="n"/>
      <c r="G403" s="31" t="n"/>
      <c r="H403" s="45" t="n"/>
      <c r="I403" s="29">
        <f>IF(OR(B403="Buy",B403="Sell"),D403*E403*IF(EXACT(F403,"GBp"),0.01,1)/IF(G403="",1,G403),"")</f>
        <v/>
      </c>
      <c r="J403" s="45" t="n"/>
      <c r="K403" s="29">
        <f>IF(B403="","",IF(B403="Deposit",J403,IF(B403="Withdrawal",-J403,IF(B403="Buy",-(I403+H403),IF(B403="Sell",I403-H403,IF(B403="Dividend",J403,IF(B403="Fee",-J403,0)))))))</f>
        <v/>
      </c>
      <c r="L403" s="27" t="n"/>
    </row>
    <row r="404">
      <c r="A404" s="43" t="n"/>
      <c r="B404" s="27" t="n"/>
      <c r="C404" s="27" t="n"/>
      <c r="D404" s="44" t="n"/>
      <c r="E404" s="30" t="n"/>
      <c r="F404" s="27" t="n"/>
      <c r="G404" s="31" t="n"/>
      <c r="H404" s="45" t="n"/>
      <c r="I404" s="29">
        <f>IF(OR(B404="Buy",B404="Sell"),D404*E404*IF(EXACT(F404,"GBp"),0.01,1)/IF(G404="",1,G404),"")</f>
        <v/>
      </c>
      <c r="J404" s="45" t="n"/>
      <c r="K404" s="29">
        <f>IF(B404="","",IF(B404="Deposit",J404,IF(B404="Withdrawal",-J404,IF(B404="Buy",-(I404+H404),IF(B404="Sell",I404-H404,IF(B404="Dividend",J404,IF(B404="Fee",-J404,0)))))))</f>
        <v/>
      </c>
      <c r="L404" s="27" t="n"/>
    </row>
    <row r="405">
      <c r="A405" s="43" t="n"/>
      <c r="B405" s="27" t="n"/>
      <c r="C405" s="27" t="n"/>
      <c r="D405" s="44" t="n"/>
      <c r="E405" s="30" t="n"/>
      <c r="F405" s="27" t="n"/>
      <c r="G405" s="31" t="n"/>
      <c r="H405" s="45" t="n"/>
      <c r="I405" s="29">
        <f>IF(OR(B405="Buy",B405="Sell"),D405*E405*IF(EXACT(F405,"GBp"),0.01,1)/IF(G405="",1,G405),"")</f>
        <v/>
      </c>
      <c r="J405" s="45" t="n"/>
      <c r="K405" s="29">
        <f>IF(B405="","",IF(B405="Deposit",J405,IF(B405="Withdrawal",-J405,IF(B405="Buy",-(I405+H405),IF(B405="Sell",I405-H405,IF(B405="Dividend",J405,IF(B405="Fee",-J405,0)))))))</f>
        <v/>
      </c>
      <c r="L405" s="27" t="n"/>
    </row>
    <row r="406">
      <c r="A406" s="43" t="n"/>
      <c r="B406" s="27" t="n"/>
      <c r="C406" s="27" t="n"/>
      <c r="D406" s="44" t="n"/>
      <c r="E406" s="30" t="n"/>
      <c r="F406" s="27" t="n"/>
      <c r="G406" s="31" t="n"/>
      <c r="H406" s="45" t="n"/>
      <c r="I406" s="29">
        <f>IF(OR(B406="Buy",B406="Sell"),D406*E406*IF(EXACT(F406,"GBp"),0.01,1)/IF(G406="",1,G406),"")</f>
        <v/>
      </c>
      <c r="J406" s="45" t="n"/>
      <c r="K406" s="29">
        <f>IF(B406="","",IF(B406="Deposit",J406,IF(B406="Withdrawal",-J406,IF(B406="Buy",-(I406+H406),IF(B406="Sell",I406-H406,IF(B406="Dividend",J406,IF(B406="Fee",-J406,0)))))))</f>
        <v/>
      </c>
      <c r="L406" s="27" t="n"/>
    </row>
    <row r="407">
      <c r="A407" s="43" t="n"/>
      <c r="B407" s="27" t="n"/>
      <c r="C407" s="27" t="n"/>
      <c r="D407" s="44" t="n"/>
      <c r="E407" s="30" t="n"/>
      <c r="F407" s="27" t="n"/>
      <c r="G407" s="31" t="n"/>
      <c r="H407" s="45" t="n"/>
      <c r="I407" s="29">
        <f>IF(OR(B407="Buy",B407="Sell"),D407*E407*IF(EXACT(F407,"GBp"),0.01,1)/IF(G407="",1,G407),"")</f>
        <v/>
      </c>
      <c r="J407" s="45" t="n"/>
      <c r="K407" s="29">
        <f>IF(B407="","",IF(B407="Deposit",J407,IF(B407="Withdrawal",-J407,IF(B407="Buy",-(I407+H407),IF(B407="Sell",I407-H407,IF(B407="Dividend",J407,IF(B407="Fee",-J407,0)))))))</f>
        <v/>
      </c>
      <c r="L407" s="27" t="n"/>
    </row>
    <row r="408">
      <c r="A408" s="43" t="n"/>
      <c r="B408" s="27" t="n"/>
      <c r="C408" s="27" t="n"/>
      <c r="D408" s="44" t="n"/>
      <c r="E408" s="30" t="n"/>
      <c r="F408" s="27" t="n"/>
      <c r="G408" s="31" t="n"/>
      <c r="H408" s="45" t="n"/>
      <c r="I408" s="29">
        <f>IF(OR(B408="Buy",B408="Sell"),D408*E408*IF(EXACT(F408,"GBp"),0.01,1)/IF(G408="",1,G408),"")</f>
        <v/>
      </c>
      <c r="J408" s="45" t="n"/>
      <c r="K408" s="29">
        <f>IF(B408="","",IF(B408="Deposit",J408,IF(B408="Withdrawal",-J408,IF(B408="Buy",-(I408+H408),IF(B408="Sell",I408-H408,IF(B408="Dividend",J408,IF(B408="Fee",-J408,0)))))))</f>
        <v/>
      </c>
      <c r="L408" s="27" t="n"/>
    </row>
    <row r="409">
      <c r="A409" s="43" t="n"/>
      <c r="B409" s="27" t="n"/>
      <c r="C409" s="27" t="n"/>
      <c r="D409" s="44" t="n"/>
      <c r="E409" s="30" t="n"/>
      <c r="F409" s="27" t="n"/>
      <c r="G409" s="31" t="n"/>
      <c r="H409" s="45" t="n"/>
      <c r="I409" s="29">
        <f>IF(OR(B409="Buy",B409="Sell"),D409*E409*IF(EXACT(F409,"GBp"),0.01,1)/IF(G409="",1,G409),"")</f>
        <v/>
      </c>
      <c r="J409" s="45" t="n"/>
      <c r="K409" s="29">
        <f>IF(B409="","",IF(B409="Deposit",J409,IF(B409="Withdrawal",-J409,IF(B409="Buy",-(I409+H409),IF(B409="Sell",I409-H409,IF(B409="Dividend",J409,IF(B409="Fee",-J409,0)))))))</f>
        <v/>
      </c>
      <c r="L409" s="27" t="n"/>
    </row>
    <row r="410">
      <c r="A410" s="43" t="n"/>
      <c r="B410" s="27" t="n"/>
      <c r="C410" s="27" t="n"/>
      <c r="D410" s="44" t="n"/>
      <c r="E410" s="30" t="n"/>
      <c r="F410" s="27" t="n"/>
      <c r="G410" s="31" t="n"/>
      <c r="H410" s="45" t="n"/>
      <c r="I410" s="29">
        <f>IF(OR(B410="Buy",B410="Sell"),D410*E410*IF(EXACT(F410,"GBp"),0.01,1)/IF(G410="",1,G410),"")</f>
        <v/>
      </c>
      <c r="J410" s="45" t="n"/>
      <c r="K410" s="29">
        <f>IF(B410="","",IF(B410="Deposit",J410,IF(B410="Withdrawal",-J410,IF(B410="Buy",-(I410+H410),IF(B410="Sell",I410-H410,IF(B410="Dividend",J410,IF(B410="Fee",-J410,0)))))))</f>
        <v/>
      </c>
      <c r="L410" s="27" t="n"/>
    </row>
    <row r="411">
      <c r="A411" s="43" t="n"/>
      <c r="B411" s="27" t="n"/>
      <c r="C411" s="27" t="n"/>
      <c r="D411" s="44" t="n"/>
      <c r="E411" s="30" t="n"/>
      <c r="F411" s="27" t="n"/>
      <c r="G411" s="31" t="n"/>
      <c r="H411" s="45" t="n"/>
      <c r="I411" s="29">
        <f>IF(OR(B411="Buy",B411="Sell"),D411*E411*IF(EXACT(F411,"GBp"),0.01,1)/IF(G411="",1,G411),"")</f>
        <v/>
      </c>
      <c r="J411" s="45" t="n"/>
      <c r="K411" s="29">
        <f>IF(B411="","",IF(B411="Deposit",J411,IF(B411="Withdrawal",-J411,IF(B411="Buy",-(I411+H411),IF(B411="Sell",I411-H411,IF(B411="Dividend",J411,IF(B411="Fee",-J411,0)))))))</f>
        <v/>
      </c>
      <c r="L411" s="27" t="n"/>
    </row>
    <row r="412">
      <c r="A412" s="43" t="n"/>
      <c r="B412" s="27" t="n"/>
      <c r="C412" s="27" t="n"/>
      <c r="D412" s="44" t="n"/>
      <c r="E412" s="30" t="n"/>
      <c r="F412" s="27" t="n"/>
      <c r="G412" s="31" t="n"/>
      <c r="H412" s="45" t="n"/>
      <c r="I412" s="29">
        <f>IF(OR(B412="Buy",B412="Sell"),D412*E412*IF(EXACT(F412,"GBp"),0.01,1)/IF(G412="",1,G412),"")</f>
        <v/>
      </c>
      <c r="J412" s="45" t="n"/>
      <c r="K412" s="29">
        <f>IF(B412="","",IF(B412="Deposit",J412,IF(B412="Withdrawal",-J412,IF(B412="Buy",-(I412+H412),IF(B412="Sell",I412-H412,IF(B412="Dividend",J412,IF(B412="Fee",-J412,0)))))))</f>
        <v/>
      </c>
      <c r="L412" s="27" t="n"/>
    </row>
    <row r="413">
      <c r="A413" s="43" t="n"/>
      <c r="B413" s="27" t="n"/>
      <c r="C413" s="27" t="n"/>
      <c r="D413" s="44" t="n"/>
      <c r="E413" s="30" t="n"/>
      <c r="F413" s="27" t="n"/>
      <c r="G413" s="31" t="n"/>
      <c r="H413" s="45" t="n"/>
      <c r="I413" s="29">
        <f>IF(OR(B413="Buy",B413="Sell"),D413*E413*IF(EXACT(F413,"GBp"),0.01,1)/IF(G413="",1,G413),"")</f>
        <v/>
      </c>
      <c r="J413" s="45" t="n"/>
      <c r="K413" s="29">
        <f>IF(B413="","",IF(B413="Deposit",J413,IF(B413="Withdrawal",-J413,IF(B413="Buy",-(I413+H413),IF(B413="Sell",I413-H413,IF(B413="Dividend",J413,IF(B413="Fee",-J413,0)))))))</f>
        <v/>
      </c>
      <c r="L413" s="27" t="n"/>
    </row>
    <row r="414">
      <c r="A414" s="43" t="n"/>
      <c r="B414" s="27" t="n"/>
      <c r="C414" s="27" t="n"/>
      <c r="D414" s="44" t="n"/>
      <c r="E414" s="30" t="n"/>
      <c r="F414" s="27" t="n"/>
      <c r="G414" s="31" t="n"/>
      <c r="H414" s="45" t="n"/>
      <c r="I414" s="29">
        <f>IF(OR(B414="Buy",B414="Sell"),D414*E414*IF(EXACT(F414,"GBp"),0.01,1)/IF(G414="",1,G414),"")</f>
        <v/>
      </c>
      <c r="J414" s="45" t="n"/>
      <c r="K414" s="29">
        <f>IF(B414="","",IF(B414="Deposit",J414,IF(B414="Withdrawal",-J414,IF(B414="Buy",-(I414+H414),IF(B414="Sell",I414-H414,IF(B414="Dividend",J414,IF(B414="Fee",-J414,0)))))))</f>
        <v/>
      </c>
      <c r="L414" s="27" t="n"/>
    </row>
    <row r="415">
      <c r="A415" s="43" t="n"/>
      <c r="B415" s="27" t="n"/>
      <c r="C415" s="27" t="n"/>
      <c r="D415" s="44" t="n"/>
      <c r="E415" s="30" t="n"/>
      <c r="F415" s="27" t="n"/>
      <c r="G415" s="31" t="n"/>
      <c r="H415" s="45" t="n"/>
      <c r="I415" s="29">
        <f>IF(OR(B415="Buy",B415="Sell"),D415*E415*IF(EXACT(F415,"GBp"),0.01,1)/IF(G415="",1,G415),"")</f>
        <v/>
      </c>
      <c r="J415" s="45" t="n"/>
      <c r="K415" s="29">
        <f>IF(B415="","",IF(B415="Deposit",J415,IF(B415="Withdrawal",-J415,IF(B415="Buy",-(I415+H415),IF(B415="Sell",I415-H415,IF(B415="Dividend",J415,IF(B415="Fee",-J415,0)))))))</f>
        <v/>
      </c>
      <c r="L415" s="27" t="n"/>
    </row>
    <row r="416">
      <c r="A416" s="43" t="n"/>
      <c r="B416" s="27" t="n"/>
      <c r="C416" s="27" t="n"/>
      <c r="D416" s="44" t="n"/>
      <c r="E416" s="30" t="n"/>
      <c r="F416" s="27" t="n"/>
      <c r="G416" s="31" t="n"/>
      <c r="H416" s="45" t="n"/>
      <c r="I416" s="29">
        <f>IF(OR(B416="Buy",B416="Sell"),D416*E416*IF(EXACT(F416,"GBp"),0.01,1)/IF(G416="",1,G416),"")</f>
        <v/>
      </c>
      <c r="J416" s="45" t="n"/>
      <c r="K416" s="29">
        <f>IF(B416="","",IF(B416="Deposit",J416,IF(B416="Withdrawal",-J416,IF(B416="Buy",-(I416+H416),IF(B416="Sell",I416-H416,IF(B416="Dividend",J416,IF(B416="Fee",-J416,0)))))))</f>
        <v/>
      </c>
      <c r="L416" s="27" t="n"/>
    </row>
    <row r="417">
      <c r="A417" s="43" t="n"/>
      <c r="B417" s="27" t="n"/>
      <c r="C417" s="27" t="n"/>
      <c r="D417" s="44" t="n"/>
      <c r="E417" s="30" t="n"/>
      <c r="F417" s="27" t="n"/>
      <c r="G417" s="31" t="n"/>
      <c r="H417" s="45" t="n"/>
      <c r="I417" s="29">
        <f>IF(OR(B417="Buy",B417="Sell"),D417*E417*IF(EXACT(F417,"GBp"),0.01,1)/IF(G417="",1,G417),"")</f>
        <v/>
      </c>
      <c r="J417" s="45" t="n"/>
      <c r="K417" s="29">
        <f>IF(B417="","",IF(B417="Deposit",J417,IF(B417="Withdrawal",-J417,IF(B417="Buy",-(I417+H417),IF(B417="Sell",I417-H417,IF(B417="Dividend",J417,IF(B417="Fee",-J417,0)))))))</f>
        <v/>
      </c>
      <c r="L417" s="27" t="n"/>
    </row>
    <row r="418">
      <c r="A418" s="43" t="n"/>
      <c r="B418" s="27" t="n"/>
      <c r="C418" s="27" t="n"/>
      <c r="D418" s="44" t="n"/>
      <c r="E418" s="30" t="n"/>
      <c r="F418" s="27" t="n"/>
      <c r="G418" s="31" t="n"/>
      <c r="H418" s="45" t="n"/>
      <c r="I418" s="29">
        <f>IF(OR(B418="Buy",B418="Sell"),D418*E418*IF(EXACT(F418,"GBp"),0.01,1)/IF(G418="",1,G418),"")</f>
        <v/>
      </c>
      <c r="J418" s="45" t="n"/>
      <c r="K418" s="29">
        <f>IF(B418="","",IF(B418="Deposit",J418,IF(B418="Withdrawal",-J418,IF(B418="Buy",-(I418+H418),IF(B418="Sell",I418-H418,IF(B418="Dividend",J418,IF(B418="Fee",-J418,0)))))))</f>
        <v/>
      </c>
      <c r="L418" s="27" t="n"/>
    </row>
    <row r="419">
      <c r="A419" s="43" t="n"/>
      <c r="B419" s="27" t="n"/>
      <c r="C419" s="27" t="n"/>
      <c r="D419" s="44" t="n"/>
      <c r="E419" s="30" t="n"/>
      <c r="F419" s="27" t="n"/>
      <c r="G419" s="31" t="n"/>
      <c r="H419" s="45" t="n"/>
      <c r="I419" s="29">
        <f>IF(OR(B419="Buy",B419="Sell"),D419*E419*IF(EXACT(F419,"GBp"),0.01,1)/IF(G419="",1,G419),"")</f>
        <v/>
      </c>
      <c r="J419" s="45" t="n"/>
      <c r="K419" s="29">
        <f>IF(B419="","",IF(B419="Deposit",J419,IF(B419="Withdrawal",-J419,IF(B419="Buy",-(I419+H419),IF(B419="Sell",I419-H419,IF(B419="Dividend",J419,IF(B419="Fee",-J419,0)))))))</f>
        <v/>
      </c>
      <c r="L419" s="27" t="n"/>
    </row>
    <row r="420">
      <c r="A420" s="43" t="n"/>
      <c r="B420" s="27" t="n"/>
      <c r="C420" s="27" t="n"/>
      <c r="D420" s="44" t="n"/>
      <c r="E420" s="30" t="n"/>
      <c r="F420" s="27" t="n"/>
      <c r="G420" s="31" t="n"/>
      <c r="H420" s="45" t="n"/>
      <c r="I420" s="29">
        <f>IF(OR(B420="Buy",B420="Sell"),D420*E420*IF(EXACT(F420,"GBp"),0.01,1)/IF(G420="",1,G420),"")</f>
        <v/>
      </c>
      <c r="J420" s="45" t="n"/>
      <c r="K420" s="29">
        <f>IF(B420="","",IF(B420="Deposit",J420,IF(B420="Withdrawal",-J420,IF(B420="Buy",-(I420+H420),IF(B420="Sell",I420-H420,IF(B420="Dividend",J420,IF(B420="Fee",-J420,0)))))))</f>
        <v/>
      </c>
      <c r="L420" s="27" t="n"/>
    </row>
    <row r="421">
      <c r="A421" s="43" t="n"/>
      <c r="B421" s="27" t="n"/>
      <c r="C421" s="27" t="n"/>
      <c r="D421" s="44" t="n"/>
      <c r="E421" s="30" t="n"/>
      <c r="F421" s="27" t="n"/>
      <c r="G421" s="31" t="n"/>
      <c r="H421" s="45" t="n"/>
      <c r="I421" s="29">
        <f>IF(OR(B421="Buy",B421="Sell"),D421*E421*IF(EXACT(F421,"GBp"),0.01,1)/IF(G421="",1,G421),"")</f>
        <v/>
      </c>
      <c r="J421" s="45" t="n"/>
      <c r="K421" s="29">
        <f>IF(B421="","",IF(B421="Deposit",J421,IF(B421="Withdrawal",-J421,IF(B421="Buy",-(I421+H421),IF(B421="Sell",I421-H421,IF(B421="Dividend",J421,IF(B421="Fee",-J421,0)))))))</f>
        <v/>
      </c>
      <c r="L421" s="27" t="n"/>
    </row>
    <row r="422">
      <c r="A422" s="43" t="n"/>
      <c r="B422" s="27" t="n"/>
      <c r="C422" s="27" t="n"/>
      <c r="D422" s="44" t="n"/>
      <c r="E422" s="30" t="n"/>
      <c r="F422" s="27" t="n"/>
      <c r="G422" s="31" t="n"/>
      <c r="H422" s="45" t="n"/>
      <c r="I422" s="29">
        <f>IF(OR(B422="Buy",B422="Sell"),D422*E422*IF(EXACT(F422,"GBp"),0.01,1)/IF(G422="",1,G422),"")</f>
        <v/>
      </c>
      <c r="J422" s="45" t="n"/>
      <c r="K422" s="29">
        <f>IF(B422="","",IF(B422="Deposit",J422,IF(B422="Withdrawal",-J422,IF(B422="Buy",-(I422+H422),IF(B422="Sell",I422-H422,IF(B422="Dividend",J422,IF(B422="Fee",-J422,0)))))))</f>
        <v/>
      </c>
      <c r="L422" s="27" t="n"/>
    </row>
    <row r="423">
      <c r="A423" s="43" t="n"/>
      <c r="B423" s="27" t="n"/>
      <c r="C423" s="27" t="n"/>
      <c r="D423" s="44" t="n"/>
      <c r="E423" s="30" t="n"/>
      <c r="F423" s="27" t="n"/>
      <c r="G423" s="31" t="n"/>
      <c r="H423" s="45" t="n"/>
      <c r="I423" s="29">
        <f>IF(OR(B423="Buy",B423="Sell"),D423*E423*IF(EXACT(F423,"GBp"),0.01,1)/IF(G423="",1,G423),"")</f>
        <v/>
      </c>
      <c r="J423" s="45" t="n"/>
      <c r="K423" s="29">
        <f>IF(B423="","",IF(B423="Deposit",J423,IF(B423="Withdrawal",-J423,IF(B423="Buy",-(I423+H423),IF(B423="Sell",I423-H423,IF(B423="Dividend",J423,IF(B423="Fee",-J423,0)))))))</f>
        <v/>
      </c>
      <c r="L423" s="27" t="n"/>
    </row>
    <row r="424">
      <c r="A424" s="43" t="n"/>
      <c r="B424" s="27" t="n"/>
      <c r="C424" s="27" t="n"/>
      <c r="D424" s="44" t="n"/>
      <c r="E424" s="30" t="n"/>
      <c r="F424" s="27" t="n"/>
      <c r="G424" s="31" t="n"/>
      <c r="H424" s="45" t="n"/>
      <c r="I424" s="29">
        <f>IF(OR(B424="Buy",B424="Sell"),D424*E424*IF(EXACT(F424,"GBp"),0.01,1)/IF(G424="",1,G424),"")</f>
        <v/>
      </c>
      <c r="J424" s="45" t="n"/>
      <c r="K424" s="29">
        <f>IF(B424="","",IF(B424="Deposit",J424,IF(B424="Withdrawal",-J424,IF(B424="Buy",-(I424+H424),IF(B424="Sell",I424-H424,IF(B424="Dividend",J424,IF(B424="Fee",-J424,0)))))))</f>
        <v/>
      </c>
      <c r="L424" s="27" t="n"/>
    </row>
    <row r="425">
      <c r="A425" s="43" t="n"/>
      <c r="B425" s="27" t="n"/>
      <c r="C425" s="27" t="n"/>
      <c r="D425" s="44" t="n"/>
      <c r="E425" s="30" t="n"/>
      <c r="F425" s="27" t="n"/>
      <c r="G425" s="31" t="n"/>
      <c r="H425" s="45" t="n"/>
      <c r="I425" s="29">
        <f>IF(OR(B425="Buy",B425="Sell"),D425*E425*IF(EXACT(F425,"GBp"),0.01,1)/IF(G425="",1,G425),"")</f>
        <v/>
      </c>
      <c r="J425" s="45" t="n"/>
      <c r="K425" s="29">
        <f>IF(B425="","",IF(B425="Deposit",J425,IF(B425="Withdrawal",-J425,IF(B425="Buy",-(I425+H425),IF(B425="Sell",I425-H425,IF(B425="Dividend",J425,IF(B425="Fee",-J425,0)))))))</f>
        <v/>
      </c>
      <c r="L425" s="27" t="n"/>
    </row>
    <row r="426">
      <c r="A426" s="43" t="n"/>
      <c r="B426" s="27" t="n"/>
      <c r="C426" s="27" t="n"/>
      <c r="D426" s="44" t="n"/>
      <c r="E426" s="30" t="n"/>
      <c r="F426" s="27" t="n"/>
      <c r="G426" s="31" t="n"/>
      <c r="H426" s="45" t="n"/>
      <c r="I426" s="29">
        <f>IF(OR(B426="Buy",B426="Sell"),D426*E426*IF(EXACT(F426,"GBp"),0.01,1)/IF(G426="",1,G426),"")</f>
        <v/>
      </c>
      <c r="J426" s="45" t="n"/>
      <c r="K426" s="29">
        <f>IF(B426="","",IF(B426="Deposit",J426,IF(B426="Withdrawal",-J426,IF(B426="Buy",-(I426+H426),IF(B426="Sell",I426-H426,IF(B426="Dividend",J426,IF(B426="Fee",-J426,0)))))))</f>
        <v/>
      </c>
      <c r="L426" s="27" t="n"/>
    </row>
    <row r="427">
      <c r="A427" s="43" t="n"/>
      <c r="B427" s="27" t="n"/>
      <c r="C427" s="27" t="n"/>
      <c r="D427" s="44" t="n"/>
      <c r="E427" s="30" t="n"/>
      <c r="F427" s="27" t="n"/>
      <c r="G427" s="31" t="n"/>
      <c r="H427" s="45" t="n"/>
      <c r="I427" s="29">
        <f>IF(OR(B427="Buy",B427="Sell"),D427*E427*IF(EXACT(F427,"GBp"),0.01,1)/IF(G427="",1,G427),"")</f>
        <v/>
      </c>
      <c r="J427" s="45" t="n"/>
      <c r="K427" s="29">
        <f>IF(B427="","",IF(B427="Deposit",J427,IF(B427="Withdrawal",-J427,IF(B427="Buy",-(I427+H427),IF(B427="Sell",I427-H427,IF(B427="Dividend",J427,IF(B427="Fee",-J427,0)))))))</f>
        <v/>
      </c>
      <c r="L427" s="27" t="n"/>
    </row>
    <row r="428">
      <c r="A428" s="43" t="n"/>
      <c r="B428" s="27" t="n"/>
      <c r="C428" s="27" t="n"/>
      <c r="D428" s="44" t="n"/>
      <c r="E428" s="30" t="n"/>
      <c r="F428" s="27" t="n"/>
      <c r="G428" s="31" t="n"/>
      <c r="H428" s="45" t="n"/>
      <c r="I428" s="29">
        <f>IF(OR(B428="Buy",B428="Sell"),D428*E428*IF(EXACT(F428,"GBp"),0.01,1)/IF(G428="",1,G428),"")</f>
        <v/>
      </c>
      <c r="J428" s="45" t="n"/>
      <c r="K428" s="29">
        <f>IF(B428="","",IF(B428="Deposit",J428,IF(B428="Withdrawal",-J428,IF(B428="Buy",-(I428+H428),IF(B428="Sell",I428-H428,IF(B428="Dividend",J428,IF(B428="Fee",-J428,0)))))))</f>
        <v/>
      </c>
      <c r="L428" s="27" t="n"/>
    </row>
    <row r="429">
      <c r="A429" s="43" t="n"/>
      <c r="B429" s="27" t="n"/>
      <c r="C429" s="27" t="n"/>
      <c r="D429" s="44" t="n"/>
      <c r="E429" s="30" t="n"/>
      <c r="F429" s="27" t="n"/>
      <c r="G429" s="31" t="n"/>
      <c r="H429" s="45" t="n"/>
      <c r="I429" s="29">
        <f>IF(OR(B429="Buy",B429="Sell"),D429*E429*IF(EXACT(F429,"GBp"),0.01,1)/IF(G429="",1,G429),"")</f>
        <v/>
      </c>
      <c r="J429" s="45" t="n"/>
      <c r="K429" s="29">
        <f>IF(B429="","",IF(B429="Deposit",J429,IF(B429="Withdrawal",-J429,IF(B429="Buy",-(I429+H429),IF(B429="Sell",I429-H429,IF(B429="Dividend",J429,IF(B429="Fee",-J429,0)))))))</f>
        <v/>
      </c>
      <c r="L429" s="27" t="n"/>
    </row>
    <row r="430">
      <c r="A430" s="43" t="n"/>
      <c r="B430" s="27" t="n"/>
      <c r="C430" s="27" t="n"/>
      <c r="D430" s="44" t="n"/>
      <c r="E430" s="30" t="n"/>
      <c r="F430" s="27" t="n"/>
      <c r="G430" s="31" t="n"/>
      <c r="H430" s="45" t="n"/>
      <c r="I430" s="29">
        <f>IF(OR(B430="Buy",B430="Sell"),D430*E430*IF(EXACT(F430,"GBp"),0.01,1)/IF(G430="",1,G430),"")</f>
        <v/>
      </c>
      <c r="J430" s="45" t="n"/>
      <c r="K430" s="29">
        <f>IF(B430="","",IF(B430="Deposit",J430,IF(B430="Withdrawal",-J430,IF(B430="Buy",-(I430+H430),IF(B430="Sell",I430-H430,IF(B430="Dividend",J430,IF(B430="Fee",-J430,0)))))))</f>
        <v/>
      </c>
      <c r="L430" s="27" t="n"/>
    </row>
    <row r="431">
      <c r="A431" s="43" t="n"/>
      <c r="B431" s="27" t="n"/>
      <c r="C431" s="27" t="n"/>
      <c r="D431" s="44" t="n"/>
      <c r="E431" s="30" t="n"/>
      <c r="F431" s="27" t="n"/>
      <c r="G431" s="31" t="n"/>
      <c r="H431" s="45" t="n"/>
      <c r="I431" s="29">
        <f>IF(OR(B431="Buy",B431="Sell"),D431*E431*IF(EXACT(F431,"GBp"),0.01,1)/IF(G431="",1,G431),"")</f>
        <v/>
      </c>
      <c r="J431" s="45" t="n"/>
      <c r="K431" s="29">
        <f>IF(B431="","",IF(B431="Deposit",J431,IF(B431="Withdrawal",-J431,IF(B431="Buy",-(I431+H431),IF(B431="Sell",I431-H431,IF(B431="Dividend",J431,IF(B431="Fee",-J431,0)))))))</f>
        <v/>
      </c>
      <c r="L431" s="27" t="n"/>
    </row>
    <row r="432">
      <c r="A432" s="43" t="n"/>
      <c r="B432" s="27" t="n"/>
      <c r="C432" s="27" t="n"/>
      <c r="D432" s="44" t="n"/>
      <c r="E432" s="30" t="n"/>
      <c r="F432" s="27" t="n"/>
      <c r="G432" s="31" t="n"/>
      <c r="H432" s="45" t="n"/>
      <c r="I432" s="29">
        <f>IF(OR(B432="Buy",B432="Sell"),D432*E432*IF(EXACT(F432,"GBp"),0.01,1)/IF(G432="",1,G432),"")</f>
        <v/>
      </c>
      <c r="J432" s="45" t="n"/>
      <c r="K432" s="29">
        <f>IF(B432="","",IF(B432="Deposit",J432,IF(B432="Withdrawal",-J432,IF(B432="Buy",-(I432+H432),IF(B432="Sell",I432-H432,IF(B432="Dividend",J432,IF(B432="Fee",-J432,0)))))))</f>
        <v/>
      </c>
      <c r="L432" s="27" t="n"/>
    </row>
    <row r="433">
      <c r="A433" s="43" t="n"/>
      <c r="B433" s="27" t="n"/>
      <c r="C433" s="27" t="n"/>
      <c r="D433" s="44" t="n"/>
      <c r="E433" s="30" t="n"/>
      <c r="F433" s="27" t="n"/>
      <c r="G433" s="31" t="n"/>
      <c r="H433" s="45" t="n"/>
      <c r="I433" s="29">
        <f>IF(OR(B433="Buy",B433="Sell"),D433*E433*IF(EXACT(F433,"GBp"),0.01,1)/IF(G433="",1,G433),"")</f>
        <v/>
      </c>
      <c r="J433" s="45" t="n"/>
      <c r="K433" s="29">
        <f>IF(B433="","",IF(B433="Deposit",J433,IF(B433="Withdrawal",-J433,IF(B433="Buy",-(I433+H433),IF(B433="Sell",I433-H433,IF(B433="Dividend",J433,IF(B433="Fee",-J433,0)))))))</f>
        <v/>
      </c>
      <c r="L433" s="27" t="n"/>
    </row>
    <row r="434">
      <c r="A434" s="43" t="n"/>
      <c r="B434" s="27" t="n"/>
      <c r="C434" s="27" t="n"/>
      <c r="D434" s="44" t="n"/>
      <c r="E434" s="30" t="n"/>
      <c r="F434" s="27" t="n"/>
      <c r="G434" s="31" t="n"/>
      <c r="H434" s="45" t="n"/>
      <c r="I434" s="29">
        <f>IF(OR(B434="Buy",B434="Sell"),D434*E434*IF(EXACT(F434,"GBp"),0.01,1)/IF(G434="",1,G434),"")</f>
        <v/>
      </c>
      <c r="J434" s="45" t="n"/>
      <c r="K434" s="29">
        <f>IF(B434="","",IF(B434="Deposit",J434,IF(B434="Withdrawal",-J434,IF(B434="Buy",-(I434+H434),IF(B434="Sell",I434-H434,IF(B434="Dividend",J434,IF(B434="Fee",-J434,0)))))))</f>
        <v/>
      </c>
      <c r="L434" s="27" t="n"/>
    </row>
    <row r="435">
      <c r="A435" s="43" t="n"/>
      <c r="B435" s="27" t="n"/>
      <c r="C435" s="27" t="n"/>
      <c r="D435" s="44" t="n"/>
      <c r="E435" s="30" t="n"/>
      <c r="F435" s="27" t="n"/>
      <c r="G435" s="31" t="n"/>
      <c r="H435" s="45" t="n"/>
      <c r="I435" s="29">
        <f>IF(OR(B435="Buy",B435="Sell"),D435*E435*IF(EXACT(F435,"GBp"),0.01,1)/IF(G435="",1,G435),"")</f>
        <v/>
      </c>
      <c r="J435" s="45" t="n"/>
      <c r="K435" s="29">
        <f>IF(B435="","",IF(B435="Deposit",J435,IF(B435="Withdrawal",-J435,IF(B435="Buy",-(I435+H435),IF(B435="Sell",I435-H435,IF(B435="Dividend",J435,IF(B435="Fee",-J435,0)))))))</f>
        <v/>
      </c>
      <c r="L435" s="27" t="n"/>
    </row>
    <row r="436">
      <c r="A436" s="43" t="n"/>
      <c r="B436" s="27" t="n"/>
      <c r="C436" s="27" t="n"/>
      <c r="D436" s="44" t="n"/>
      <c r="E436" s="30" t="n"/>
      <c r="F436" s="27" t="n"/>
      <c r="G436" s="31" t="n"/>
      <c r="H436" s="45" t="n"/>
      <c r="I436" s="29">
        <f>IF(OR(B436="Buy",B436="Sell"),D436*E436*IF(EXACT(F436,"GBp"),0.01,1)/IF(G436="",1,G436),"")</f>
        <v/>
      </c>
      <c r="J436" s="45" t="n"/>
      <c r="K436" s="29">
        <f>IF(B436="","",IF(B436="Deposit",J436,IF(B436="Withdrawal",-J436,IF(B436="Buy",-(I436+H436),IF(B436="Sell",I436-H436,IF(B436="Dividend",J436,IF(B436="Fee",-J436,0)))))))</f>
        <v/>
      </c>
      <c r="L436" s="27" t="n"/>
    </row>
    <row r="437">
      <c r="A437" s="43" t="n"/>
      <c r="B437" s="27" t="n"/>
      <c r="C437" s="27" t="n"/>
      <c r="D437" s="44" t="n"/>
      <c r="E437" s="30" t="n"/>
      <c r="F437" s="27" t="n"/>
      <c r="G437" s="31" t="n"/>
      <c r="H437" s="45" t="n"/>
      <c r="I437" s="29">
        <f>IF(OR(B437="Buy",B437="Sell"),D437*E437*IF(EXACT(F437,"GBp"),0.01,1)/IF(G437="",1,G437),"")</f>
        <v/>
      </c>
      <c r="J437" s="45" t="n"/>
      <c r="K437" s="29">
        <f>IF(B437="","",IF(B437="Deposit",J437,IF(B437="Withdrawal",-J437,IF(B437="Buy",-(I437+H437),IF(B437="Sell",I437-H437,IF(B437="Dividend",J437,IF(B437="Fee",-J437,0)))))))</f>
        <v/>
      </c>
      <c r="L437" s="27" t="n"/>
    </row>
    <row r="438">
      <c r="A438" s="43" t="n"/>
      <c r="B438" s="27" t="n"/>
      <c r="C438" s="27" t="n"/>
      <c r="D438" s="44" t="n"/>
      <c r="E438" s="30" t="n"/>
      <c r="F438" s="27" t="n"/>
      <c r="G438" s="31" t="n"/>
      <c r="H438" s="45" t="n"/>
      <c r="I438" s="29">
        <f>IF(OR(B438="Buy",B438="Sell"),D438*E438*IF(EXACT(F438,"GBp"),0.01,1)/IF(G438="",1,G438),"")</f>
        <v/>
      </c>
      <c r="J438" s="45" t="n"/>
      <c r="K438" s="29">
        <f>IF(B438="","",IF(B438="Deposit",J438,IF(B438="Withdrawal",-J438,IF(B438="Buy",-(I438+H438),IF(B438="Sell",I438-H438,IF(B438="Dividend",J438,IF(B438="Fee",-J438,0)))))))</f>
        <v/>
      </c>
      <c r="L438" s="27" t="n"/>
    </row>
    <row r="439">
      <c r="A439" s="43" t="n"/>
      <c r="B439" s="27" t="n"/>
      <c r="C439" s="27" t="n"/>
      <c r="D439" s="44" t="n"/>
      <c r="E439" s="30" t="n"/>
      <c r="F439" s="27" t="n"/>
      <c r="G439" s="31" t="n"/>
      <c r="H439" s="45" t="n"/>
      <c r="I439" s="29">
        <f>IF(OR(B439="Buy",B439="Sell"),D439*E439*IF(EXACT(F439,"GBp"),0.01,1)/IF(G439="",1,G439),"")</f>
        <v/>
      </c>
      <c r="J439" s="45" t="n"/>
      <c r="K439" s="29">
        <f>IF(B439="","",IF(B439="Deposit",J439,IF(B439="Withdrawal",-J439,IF(B439="Buy",-(I439+H439),IF(B439="Sell",I439-H439,IF(B439="Dividend",J439,IF(B439="Fee",-J439,0)))))))</f>
        <v/>
      </c>
      <c r="L439" s="27" t="n"/>
    </row>
    <row r="440">
      <c r="A440" s="43" t="n"/>
      <c r="B440" s="27" t="n"/>
      <c r="C440" s="27" t="n"/>
      <c r="D440" s="44" t="n"/>
      <c r="E440" s="30" t="n"/>
      <c r="F440" s="27" t="n"/>
      <c r="G440" s="31" t="n"/>
      <c r="H440" s="45" t="n"/>
      <c r="I440" s="29">
        <f>IF(OR(B440="Buy",B440="Sell"),D440*E440*IF(EXACT(F440,"GBp"),0.01,1)/IF(G440="",1,G440),"")</f>
        <v/>
      </c>
      <c r="J440" s="45" t="n"/>
      <c r="K440" s="29">
        <f>IF(B440="","",IF(B440="Deposit",J440,IF(B440="Withdrawal",-J440,IF(B440="Buy",-(I440+H440),IF(B440="Sell",I440-H440,IF(B440="Dividend",J440,IF(B440="Fee",-J440,0)))))))</f>
        <v/>
      </c>
      <c r="L440" s="27" t="n"/>
    </row>
    <row r="441">
      <c r="A441" s="43" t="n"/>
      <c r="B441" s="27" t="n"/>
      <c r="C441" s="27" t="n"/>
      <c r="D441" s="44" t="n"/>
      <c r="E441" s="30" t="n"/>
      <c r="F441" s="27" t="n"/>
      <c r="G441" s="31" t="n"/>
      <c r="H441" s="45" t="n"/>
      <c r="I441" s="29">
        <f>IF(OR(B441="Buy",B441="Sell"),D441*E441*IF(EXACT(F441,"GBp"),0.01,1)/IF(G441="",1,G441),"")</f>
        <v/>
      </c>
      <c r="J441" s="45" t="n"/>
      <c r="K441" s="29">
        <f>IF(B441="","",IF(B441="Deposit",J441,IF(B441="Withdrawal",-J441,IF(B441="Buy",-(I441+H441),IF(B441="Sell",I441-H441,IF(B441="Dividend",J441,IF(B441="Fee",-J441,0)))))))</f>
        <v/>
      </c>
      <c r="L441" s="27" t="n"/>
    </row>
    <row r="442">
      <c r="A442" s="43" t="n"/>
      <c r="B442" s="27" t="n"/>
      <c r="C442" s="27" t="n"/>
      <c r="D442" s="44" t="n"/>
      <c r="E442" s="30" t="n"/>
      <c r="F442" s="27" t="n"/>
      <c r="G442" s="31" t="n"/>
      <c r="H442" s="45" t="n"/>
      <c r="I442" s="29">
        <f>IF(OR(B442="Buy",B442="Sell"),D442*E442*IF(EXACT(F442,"GBp"),0.01,1)/IF(G442="",1,G442),"")</f>
        <v/>
      </c>
      <c r="J442" s="45" t="n"/>
      <c r="K442" s="29">
        <f>IF(B442="","",IF(B442="Deposit",J442,IF(B442="Withdrawal",-J442,IF(B442="Buy",-(I442+H442),IF(B442="Sell",I442-H442,IF(B442="Dividend",J442,IF(B442="Fee",-J442,0)))))))</f>
        <v/>
      </c>
      <c r="L442" s="27" t="n"/>
    </row>
    <row r="443">
      <c r="A443" s="43" t="n"/>
      <c r="B443" s="27" t="n"/>
      <c r="C443" s="27" t="n"/>
      <c r="D443" s="44" t="n"/>
      <c r="E443" s="30" t="n"/>
      <c r="F443" s="27" t="n"/>
      <c r="G443" s="31" t="n"/>
      <c r="H443" s="45" t="n"/>
      <c r="I443" s="29">
        <f>IF(OR(B443="Buy",B443="Sell"),D443*E443*IF(EXACT(F443,"GBp"),0.01,1)/IF(G443="",1,G443),"")</f>
        <v/>
      </c>
      <c r="J443" s="45" t="n"/>
      <c r="K443" s="29">
        <f>IF(B443="","",IF(B443="Deposit",J443,IF(B443="Withdrawal",-J443,IF(B443="Buy",-(I443+H443),IF(B443="Sell",I443-H443,IF(B443="Dividend",J443,IF(B443="Fee",-J443,0)))))))</f>
        <v/>
      </c>
      <c r="L443" s="27" t="n"/>
    </row>
    <row r="444">
      <c r="A444" s="43" t="n"/>
      <c r="B444" s="27" t="n"/>
      <c r="C444" s="27" t="n"/>
      <c r="D444" s="44" t="n"/>
      <c r="E444" s="30" t="n"/>
      <c r="F444" s="27" t="n"/>
      <c r="G444" s="31" t="n"/>
      <c r="H444" s="45" t="n"/>
      <c r="I444" s="29">
        <f>IF(OR(B444="Buy",B444="Sell"),D444*E444*IF(EXACT(F444,"GBp"),0.01,1)/IF(G444="",1,G444),"")</f>
        <v/>
      </c>
      <c r="J444" s="45" t="n"/>
      <c r="K444" s="29">
        <f>IF(B444="","",IF(B444="Deposit",J444,IF(B444="Withdrawal",-J444,IF(B444="Buy",-(I444+H444),IF(B444="Sell",I444-H444,IF(B444="Dividend",J444,IF(B444="Fee",-J444,0)))))))</f>
        <v/>
      </c>
      <c r="L444" s="27" t="n"/>
    </row>
    <row r="445">
      <c r="A445" s="43" t="n"/>
      <c r="B445" s="27" t="n"/>
      <c r="C445" s="27" t="n"/>
      <c r="D445" s="44" t="n"/>
      <c r="E445" s="30" t="n"/>
      <c r="F445" s="27" t="n"/>
      <c r="G445" s="31" t="n"/>
      <c r="H445" s="45" t="n"/>
      <c r="I445" s="29">
        <f>IF(OR(B445="Buy",B445="Sell"),D445*E445*IF(EXACT(F445,"GBp"),0.01,1)/IF(G445="",1,G445),"")</f>
        <v/>
      </c>
      <c r="J445" s="45" t="n"/>
      <c r="K445" s="29">
        <f>IF(B445="","",IF(B445="Deposit",J445,IF(B445="Withdrawal",-J445,IF(B445="Buy",-(I445+H445),IF(B445="Sell",I445-H445,IF(B445="Dividend",J445,IF(B445="Fee",-J445,0)))))))</f>
        <v/>
      </c>
      <c r="L445" s="27" t="n"/>
    </row>
    <row r="446">
      <c r="A446" s="43" t="n"/>
      <c r="B446" s="27" t="n"/>
      <c r="C446" s="27" t="n"/>
      <c r="D446" s="44" t="n"/>
      <c r="E446" s="30" t="n"/>
      <c r="F446" s="27" t="n"/>
      <c r="G446" s="31" t="n"/>
      <c r="H446" s="45" t="n"/>
      <c r="I446" s="29">
        <f>IF(OR(B446="Buy",B446="Sell"),D446*E446*IF(EXACT(F446,"GBp"),0.01,1)/IF(G446="",1,G446),"")</f>
        <v/>
      </c>
      <c r="J446" s="45" t="n"/>
      <c r="K446" s="29">
        <f>IF(B446="","",IF(B446="Deposit",J446,IF(B446="Withdrawal",-J446,IF(B446="Buy",-(I446+H446),IF(B446="Sell",I446-H446,IF(B446="Dividend",J446,IF(B446="Fee",-J446,0)))))))</f>
        <v/>
      </c>
      <c r="L446" s="27" t="n"/>
    </row>
    <row r="447">
      <c r="A447" s="43" t="n"/>
      <c r="B447" s="27" t="n"/>
      <c r="C447" s="27" t="n"/>
      <c r="D447" s="44" t="n"/>
      <c r="E447" s="30" t="n"/>
      <c r="F447" s="27" t="n"/>
      <c r="G447" s="31" t="n"/>
      <c r="H447" s="45" t="n"/>
      <c r="I447" s="29">
        <f>IF(OR(B447="Buy",B447="Sell"),D447*E447*IF(EXACT(F447,"GBp"),0.01,1)/IF(G447="",1,G447),"")</f>
        <v/>
      </c>
      <c r="J447" s="45" t="n"/>
      <c r="K447" s="29">
        <f>IF(B447="","",IF(B447="Deposit",J447,IF(B447="Withdrawal",-J447,IF(B447="Buy",-(I447+H447),IF(B447="Sell",I447-H447,IF(B447="Dividend",J447,IF(B447="Fee",-J447,0)))))))</f>
        <v/>
      </c>
      <c r="L447" s="27" t="n"/>
    </row>
    <row r="448">
      <c r="A448" s="43" t="n"/>
      <c r="B448" s="27" t="n"/>
      <c r="C448" s="27" t="n"/>
      <c r="D448" s="44" t="n"/>
      <c r="E448" s="30" t="n"/>
      <c r="F448" s="27" t="n"/>
      <c r="G448" s="31" t="n"/>
      <c r="H448" s="45" t="n"/>
      <c r="I448" s="29">
        <f>IF(OR(B448="Buy",B448="Sell"),D448*E448*IF(EXACT(F448,"GBp"),0.01,1)/IF(G448="",1,G448),"")</f>
        <v/>
      </c>
      <c r="J448" s="45" t="n"/>
      <c r="K448" s="29">
        <f>IF(B448="","",IF(B448="Deposit",J448,IF(B448="Withdrawal",-J448,IF(B448="Buy",-(I448+H448),IF(B448="Sell",I448-H448,IF(B448="Dividend",J448,IF(B448="Fee",-J448,0)))))))</f>
        <v/>
      </c>
      <c r="L448" s="27" t="n"/>
    </row>
    <row r="449">
      <c r="A449" s="43" t="n"/>
      <c r="B449" s="27" t="n"/>
      <c r="C449" s="27" t="n"/>
      <c r="D449" s="44" t="n"/>
      <c r="E449" s="30" t="n"/>
      <c r="F449" s="27" t="n"/>
      <c r="G449" s="31" t="n"/>
      <c r="H449" s="45" t="n"/>
      <c r="I449" s="29">
        <f>IF(OR(B449="Buy",B449="Sell"),D449*E449*IF(EXACT(F449,"GBp"),0.01,1)/IF(G449="",1,G449),"")</f>
        <v/>
      </c>
      <c r="J449" s="45" t="n"/>
      <c r="K449" s="29">
        <f>IF(B449="","",IF(B449="Deposit",J449,IF(B449="Withdrawal",-J449,IF(B449="Buy",-(I449+H449),IF(B449="Sell",I449-H449,IF(B449="Dividend",J449,IF(B449="Fee",-J449,0)))))))</f>
        <v/>
      </c>
      <c r="L449" s="27" t="n"/>
    </row>
    <row r="450">
      <c r="A450" s="43" t="n"/>
      <c r="B450" s="27" t="n"/>
      <c r="C450" s="27" t="n"/>
      <c r="D450" s="44" t="n"/>
      <c r="E450" s="30" t="n"/>
      <c r="F450" s="27" t="n"/>
      <c r="G450" s="31" t="n"/>
      <c r="H450" s="45" t="n"/>
      <c r="I450" s="29">
        <f>IF(OR(B450="Buy",B450="Sell"),D450*E450*IF(EXACT(F450,"GBp"),0.01,1)/IF(G450="",1,G450),"")</f>
        <v/>
      </c>
      <c r="J450" s="45" t="n"/>
      <c r="K450" s="29">
        <f>IF(B450="","",IF(B450="Deposit",J450,IF(B450="Withdrawal",-J450,IF(B450="Buy",-(I450+H450),IF(B450="Sell",I450-H450,IF(B450="Dividend",J450,IF(B450="Fee",-J450,0)))))))</f>
        <v/>
      </c>
      <c r="L450" s="27" t="n"/>
    </row>
    <row r="451">
      <c r="A451" s="43" t="n"/>
      <c r="B451" s="27" t="n"/>
      <c r="C451" s="27" t="n"/>
      <c r="D451" s="44" t="n"/>
      <c r="E451" s="30" t="n"/>
      <c r="F451" s="27" t="n"/>
      <c r="G451" s="31" t="n"/>
      <c r="H451" s="45" t="n"/>
      <c r="I451" s="29">
        <f>IF(OR(B451="Buy",B451="Sell"),D451*E451*IF(EXACT(F451,"GBp"),0.01,1)/IF(G451="",1,G451),"")</f>
        <v/>
      </c>
      <c r="J451" s="45" t="n"/>
      <c r="K451" s="29">
        <f>IF(B451="","",IF(B451="Deposit",J451,IF(B451="Withdrawal",-J451,IF(B451="Buy",-(I451+H451),IF(B451="Sell",I451-H451,IF(B451="Dividend",J451,IF(B451="Fee",-J451,0)))))))</f>
        <v/>
      </c>
      <c r="L451" s="27" t="n"/>
    </row>
    <row r="452">
      <c r="A452" s="43" t="n"/>
      <c r="B452" s="27" t="n"/>
      <c r="C452" s="27" t="n"/>
      <c r="D452" s="44" t="n"/>
      <c r="E452" s="30" t="n"/>
      <c r="F452" s="27" t="n"/>
      <c r="G452" s="31" t="n"/>
      <c r="H452" s="45" t="n"/>
      <c r="I452" s="29">
        <f>IF(OR(B452="Buy",B452="Sell"),D452*E452*IF(EXACT(F452,"GBp"),0.01,1)/IF(G452="",1,G452),"")</f>
        <v/>
      </c>
      <c r="J452" s="45" t="n"/>
      <c r="K452" s="29">
        <f>IF(B452="","",IF(B452="Deposit",J452,IF(B452="Withdrawal",-J452,IF(B452="Buy",-(I452+H452),IF(B452="Sell",I452-H452,IF(B452="Dividend",J452,IF(B452="Fee",-J452,0)))))))</f>
        <v/>
      </c>
      <c r="L452" s="27" t="n"/>
    </row>
    <row r="453">
      <c r="A453" s="43" t="n"/>
      <c r="B453" s="27" t="n"/>
      <c r="C453" s="27" t="n"/>
      <c r="D453" s="44" t="n"/>
      <c r="E453" s="30" t="n"/>
      <c r="F453" s="27" t="n"/>
      <c r="G453" s="31" t="n"/>
      <c r="H453" s="45" t="n"/>
      <c r="I453" s="29">
        <f>IF(OR(B453="Buy",B453="Sell"),D453*E453*IF(EXACT(F453,"GBp"),0.01,1)/IF(G453="",1,G453),"")</f>
        <v/>
      </c>
      <c r="J453" s="45" t="n"/>
      <c r="K453" s="29">
        <f>IF(B453="","",IF(B453="Deposit",J453,IF(B453="Withdrawal",-J453,IF(B453="Buy",-(I453+H453),IF(B453="Sell",I453-H453,IF(B453="Dividend",J453,IF(B453="Fee",-J453,0)))))))</f>
        <v/>
      </c>
      <c r="L453" s="27" t="n"/>
    </row>
    <row r="454">
      <c r="A454" s="43" t="n"/>
      <c r="B454" s="27" t="n"/>
      <c r="C454" s="27" t="n"/>
      <c r="D454" s="44" t="n"/>
      <c r="E454" s="30" t="n"/>
      <c r="F454" s="27" t="n"/>
      <c r="G454" s="31" t="n"/>
      <c r="H454" s="45" t="n"/>
      <c r="I454" s="29">
        <f>IF(OR(B454="Buy",B454="Sell"),D454*E454*IF(EXACT(F454,"GBp"),0.01,1)/IF(G454="",1,G454),"")</f>
        <v/>
      </c>
      <c r="J454" s="45" t="n"/>
      <c r="K454" s="29">
        <f>IF(B454="","",IF(B454="Deposit",J454,IF(B454="Withdrawal",-J454,IF(B454="Buy",-(I454+H454),IF(B454="Sell",I454-H454,IF(B454="Dividend",J454,IF(B454="Fee",-J454,0)))))))</f>
        <v/>
      </c>
      <c r="L454" s="27" t="n"/>
    </row>
    <row r="455">
      <c r="A455" s="43" t="n"/>
      <c r="B455" s="27" t="n"/>
      <c r="C455" s="27" t="n"/>
      <c r="D455" s="44" t="n"/>
      <c r="E455" s="30" t="n"/>
      <c r="F455" s="27" t="n"/>
      <c r="G455" s="31" t="n"/>
      <c r="H455" s="45" t="n"/>
      <c r="I455" s="29">
        <f>IF(OR(B455="Buy",B455="Sell"),D455*E455*IF(EXACT(F455,"GBp"),0.01,1)/IF(G455="",1,G455),"")</f>
        <v/>
      </c>
      <c r="J455" s="45" t="n"/>
      <c r="K455" s="29">
        <f>IF(B455="","",IF(B455="Deposit",J455,IF(B455="Withdrawal",-J455,IF(B455="Buy",-(I455+H455),IF(B455="Sell",I455-H455,IF(B455="Dividend",J455,IF(B455="Fee",-J455,0)))))))</f>
        <v/>
      </c>
      <c r="L455" s="27" t="n"/>
    </row>
    <row r="456">
      <c r="A456" s="43" t="n"/>
      <c r="B456" s="27" t="n"/>
      <c r="C456" s="27" t="n"/>
      <c r="D456" s="44" t="n"/>
      <c r="E456" s="30" t="n"/>
      <c r="F456" s="27" t="n"/>
      <c r="G456" s="31" t="n"/>
      <c r="H456" s="45" t="n"/>
      <c r="I456" s="29">
        <f>IF(OR(B456="Buy",B456="Sell"),D456*E456*IF(EXACT(F456,"GBp"),0.01,1)/IF(G456="",1,G456),"")</f>
        <v/>
      </c>
      <c r="J456" s="45" t="n"/>
      <c r="K456" s="29">
        <f>IF(B456="","",IF(B456="Deposit",J456,IF(B456="Withdrawal",-J456,IF(B456="Buy",-(I456+H456),IF(B456="Sell",I456-H456,IF(B456="Dividend",J456,IF(B456="Fee",-J456,0)))))))</f>
        <v/>
      </c>
      <c r="L456" s="27" t="n"/>
    </row>
    <row r="457">
      <c r="A457" s="43" t="n"/>
      <c r="B457" s="27" t="n"/>
      <c r="C457" s="27" t="n"/>
      <c r="D457" s="44" t="n"/>
      <c r="E457" s="30" t="n"/>
      <c r="F457" s="27" t="n"/>
      <c r="G457" s="31" t="n"/>
      <c r="H457" s="45" t="n"/>
      <c r="I457" s="29">
        <f>IF(OR(B457="Buy",B457="Sell"),D457*E457*IF(EXACT(F457,"GBp"),0.01,1)/IF(G457="",1,G457),"")</f>
        <v/>
      </c>
      <c r="J457" s="45" t="n"/>
      <c r="K457" s="29">
        <f>IF(B457="","",IF(B457="Deposit",J457,IF(B457="Withdrawal",-J457,IF(B457="Buy",-(I457+H457),IF(B457="Sell",I457-H457,IF(B457="Dividend",J457,IF(B457="Fee",-J457,0)))))))</f>
        <v/>
      </c>
      <c r="L457" s="27" t="n"/>
    </row>
    <row r="458">
      <c r="A458" s="43" t="n"/>
      <c r="B458" s="27" t="n"/>
      <c r="C458" s="27" t="n"/>
      <c r="D458" s="44" t="n"/>
      <c r="E458" s="30" t="n"/>
      <c r="F458" s="27" t="n"/>
      <c r="G458" s="31" t="n"/>
      <c r="H458" s="45" t="n"/>
      <c r="I458" s="29">
        <f>IF(OR(B458="Buy",B458="Sell"),D458*E458*IF(EXACT(F458,"GBp"),0.01,1)/IF(G458="",1,G458),"")</f>
        <v/>
      </c>
      <c r="J458" s="45" t="n"/>
      <c r="K458" s="29">
        <f>IF(B458="","",IF(B458="Deposit",J458,IF(B458="Withdrawal",-J458,IF(B458="Buy",-(I458+H458),IF(B458="Sell",I458-H458,IF(B458="Dividend",J458,IF(B458="Fee",-J458,0)))))))</f>
        <v/>
      </c>
      <c r="L458" s="27" t="n"/>
    </row>
    <row r="459">
      <c r="A459" s="43" t="n"/>
      <c r="B459" s="27" t="n"/>
      <c r="C459" s="27" t="n"/>
      <c r="D459" s="44" t="n"/>
      <c r="E459" s="30" t="n"/>
      <c r="F459" s="27" t="n"/>
      <c r="G459" s="31" t="n"/>
      <c r="H459" s="45" t="n"/>
      <c r="I459" s="29">
        <f>IF(OR(B459="Buy",B459="Sell"),D459*E459*IF(EXACT(F459,"GBp"),0.01,1)/IF(G459="",1,G459),"")</f>
        <v/>
      </c>
      <c r="J459" s="45" t="n"/>
      <c r="K459" s="29">
        <f>IF(B459="","",IF(B459="Deposit",J459,IF(B459="Withdrawal",-J459,IF(B459="Buy",-(I459+H459),IF(B459="Sell",I459-H459,IF(B459="Dividend",J459,IF(B459="Fee",-J459,0)))))))</f>
        <v/>
      </c>
      <c r="L459" s="27" t="n"/>
    </row>
    <row r="460">
      <c r="A460" s="43" t="n"/>
      <c r="B460" s="27" t="n"/>
      <c r="C460" s="27" t="n"/>
      <c r="D460" s="44" t="n"/>
      <c r="E460" s="30" t="n"/>
      <c r="F460" s="27" t="n"/>
      <c r="G460" s="31" t="n"/>
      <c r="H460" s="45" t="n"/>
      <c r="I460" s="29">
        <f>IF(OR(B460="Buy",B460="Sell"),D460*E460*IF(EXACT(F460,"GBp"),0.01,1)/IF(G460="",1,G460),"")</f>
        <v/>
      </c>
      <c r="J460" s="45" t="n"/>
      <c r="K460" s="29">
        <f>IF(B460="","",IF(B460="Deposit",J460,IF(B460="Withdrawal",-J460,IF(B460="Buy",-(I460+H460),IF(B460="Sell",I460-H460,IF(B460="Dividend",J460,IF(B460="Fee",-J460,0)))))))</f>
        <v/>
      </c>
      <c r="L460" s="27" t="n"/>
    </row>
    <row r="461">
      <c r="A461" s="43" t="n"/>
      <c r="B461" s="27" t="n"/>
      <c r="C461" s="27" t="n"/>
      <c r="D461" s="44" t="n"/>
      <c r="E461" s="30" t="n"/>
      <c r="F461" s="27" t="n"/>
      <c r="G461" s="31" t="n"/>
      <c r="H461" s="45" t="n"/>
      <c r="I461" s="29">
        <f>IF(OR(B461="Buy",B461="Sell"),D461*E461*IF(EXACT(F461,"GBp"),0.01,1)/IF(G461="",1,G461),"")</f>
        <v/>
      </c>
      <c r="J461" s="45" t="n"/>
      <c r="K461" s="29">
        <f>IF(B461="","",IF(B461="Deposit",J461,IF(B461="Withdrawal",-J461,IF(B461="Buy",-(I461+H461),IF(B461="Sell",I461-H461,IF(B461="Dividend",J461,IF(B461="Fee",-J461,0)))))))</f>
        <v/>
      </c>
      <c r="L461" s="27" t="n"/>
    </row>
    <row r="462">
      <c r="A462" s="43" t="n"/>
      <c r="B462" s="27" t="n"/>
      <c r="C462" s="27" t="n"/>
      <c r="D462" s="44" t="n"/>
      <c r="E462" s="30" t="n"/>
      <c r="F462" s="27" t="n"/>
      <c r="G462" s="31" t="n"/>
      <c r="H462" s="45" t="n"/>
      <c r="I462" s="29">
        <f>IF(OR(B462="Buy",B462="Sell"),D462*E462*IF(EXACT(F462,"GBp"),0.01,1)/IF(G462="",1,G462),"")</f>
        <v/>
      </c>
      <c r="J462" s="45" t="n"/>
      <c r="K462" s="29">
        <f>IF(B462="","",IF(B462="Deposit",J462,IF(B462="Withdrawal",-J462,IF(B462="Buy",-(I462+H462),IF(B462="Sell",I462-H462,IF(B462="Dividend",J462,IF(B462="Fee",-J462,0)))))))</f>
        <v/>
      </c>
      <c r="L462" s="27" t="n"/>
    </row>
    <row r="463">
      <c r="A463" s="43" t="n"/>
      <c r="B463" s="27" t="n"/>
      <c r="C463" s="27" t="n"/>
      <c r="D463" s="44" t="n"/>
      <c r="E463" s="30" t="n"/>
      <c r="F463" s="27" t="n"/>
      <c r="G463" s="31" t="n"/>
      <c r="H463" s="45" t="n"/>
      <c r="I463" s="29">
        <f>IF(OR(B463="Buy",B463="Sell"),D463*E463*IF(EXACT(F463,"GBp"),0.01,1)/IF(G463="",1,G463),"")</f>
        <v/>
      </c>
      <c r="J463" s="45" t="n"/>
      <c r="K463" s="29">
        <f>IF(B463="","",IF(B463="Deposit",J463,IF(B463="Withdrawal",-J463,IF(B463="Buy",-(I463+H463),IF(B463="Sell",I463-H463,IF(B463="Dividend",J463,IF(B463="Fee",-J463,0)))))))</f>
        <v/>
      </c>
      <c r="L463" s="27" t="n"/>
    </row>
    <row r="464">
      <c r="A464" s="43" t="n"/>
      <c r="B464" s="27" t="n"/>
      <c r="C464" s="27" t="n"/>
      <c r="D464" s="44" t="n"/>
      <c r="E464" s="30" t="n"/>
      <c r="F464" s="27" t="n"/>
      <c r="G464" s="31" t="n"/>
      <c r="H464" s="45" t="n"/>
      <c r="I464" s="29">
        <f>IF(OR(B464="Buy",B464="Sell"),D464*E464*IF(EXACT(F464,"GBp"),0.01,1)/IF(G464="",1,G464),"")</f>
        <v/>
      </c>
      <c r="J464" s="45" t="n"/>
      <c r="K464" s="29">
        <f>IF(B464="","",IF(B464="Deposit",J464,IF(B464="Withdrawal",-J464,IF(B464="Buy",-(I464+H464),IF(B464="Sell",I464-H464,IF(B464="Dividend",J464,IF(B464="Fee",-J464,0)))))))</f>
        <v/>
      </c>
      <c r="L464" s="27" t="n"/>
    </row>
    <row r="465">
      <c r="A465" s="43" t="n"/>
      <c r="B465" s="27" t="n"/>
      <c r="C465" s="27" t="n"/>
      <c r="D465" s="44" t="n"/>
      <c r="E465" s="30" t="n"/>
      <c r="F465" s="27" t="n"/>
      <c r="G465" s="31" t="n"/>
      <c r="H465" s="45" t="n"/>
      <c r="I465" s="29">
        <f>IF(OR(B465="Buy",B465="Sell"),D465*E465*IF(EXACT(F465,"GBp"),0.01,1)/IF(G465="",1,G465),"")</f>
        <v/>
      </c>
      <c r="J465" s="45" t="n"/>
      <c r="K465" s="29">
        <f>IF(B465="","",IF(B465="Deposit",J465,IF(B465="Withdrawal",-J465,IF(B465="Buy",-(I465+H465),IF(B465="Sell",I465-H465,IF(B465="Dividend",J465,IF(B465="Fee",-J465,0)))))))</f>
        <v/>
      </c>
      <c r="L465" s="27" t="n"/>
    </row>
    <row r="466">
      <c r="A466" s="43" t="n"/>
      <c r="B466" s="27" t="n"/>
      <c r="C466" s="27" t="n"/>
      <c r="D466" s="44" t="n"/>
      <c r="E466" s="30" t="n"/>
      <c r="F466" s="27" t="n"/>
      <c r="G466" s="31" t="n"/>
      <c r="H466" s="45" t="n"/>
      <c r="I466" s="29">
        <f>IF(OR(B466="Buy",B466="Sell"),D466*E466*IF(EXACT(F466,"GBp"),0.01,1)/IF(G466="",1,G466),"")</f>
        <v/>
      </c>
      <c r="J466" s="45" t="n"/>
      <c r="K466" s="29">
        <f>IF(B466="","",IF(B466="Deposit",J466,IF(B466="Withdrawal",-J466,IF(B466="Buy",-(I466+H466),IF(B466="Sell",I466-H466,IF(B466="Dividend",J466,IF(B466="Fee",-J466,0)))))))</f>
        <v/>
      </c>
      <c r="L466" s="27" t="n"/>
    </row>
    <row r="467">
      <c r="A467" s="43" t="n"/>
      <c r="B467" s="27" t="n"/>
      <c r="C467" s="27" t="n"/>
      <c r="D467" s="44" t="n"/>
      <c r="E467" s="30" t="n"/>
      <c r="F467" s="27" t="n"/>
      <c r="G467" s="31" t="n"/>
      <c r="H467" s="45" t="n"/>
      <c r="I467" s="29">
        <f>IF(OR(B467="Buy",B467="Sell"),D467*E467*IF(EXACT(F467,"GBp"),0.01,1)/IF(G467="",1,G467),"")</f>
        <v/>
      </c>
      <c r="J467" s="45" t="n"/>
      <c r="K467" s="29">
        <f>IF(B467="","",IF(B467="Deposit",J467,IF(B467="Withdrawal",-J467,IF(B467="Buy",-(I467+H467),IF(B467="Sell",I467-H467,IF(B467="Dividend",J467,IF(B467="Fee",-J467,0)))))))</f>
        <v/>
      </c>
      <c r="L467" s="27" t="n"/>
    </row>
    <row r="468">
      <c r="A468" s="43" t="n"/>
      <c r="B468" s="27" t="n"/>
      <c r="C468" s="27" t="n"/>
      <c r="D468" s="44" t="n"/>
      <c r="E468" s="30" t="n"/>
      <c r="F468" s="27" t="n"/>
      <c r="G468" s="31" t="n"/>
      <c r="H468" s="45" t="n"/>
      <c r="I468" s="29">
        <f>IF(OR(B468="Buy",B468="Sell"),D468*E468*IF(EXACT(F468,"GBp"),0.01,1)/IF(G468="",1,G468),"")</f>
        <v/>
      </c>
      <c r="J468" s="45" t="n"/>
      <c r="K468" s="29">
        <f>IF(B468="","",IF(B468="Deposit",J468,IF(B468="Withdrawal",-J468,IF(B468="Buy",-(I468+H468),IF(B468="Sell",I468-H468,IF(B468="Dividend",J468,IF(B468="Fee",-J468,0)))))))</f>
        <v/>
      </c>
      <c r="L468" s="27" t="n"/>
    </row>
    <row r="469">
      <c r="A469" s="43" t="n"/>
      <c r="B469" s="27" t="n"/>
      <c r="C469" s="27" t="n"/>
      <c r="D469" s="44" t="n"/>
      <c r="E469" s="30" t="n"/>
      <c r="F469" s="27" t="n"/>
      <c r="G469" s="31" t="n"/>
      <c r="H469" s="45" t="n"/>
      <c r="I469" s="29">
        <f>IF(OR(B469="Buy",B469="Sell"),D469*E469*IF(EXACT(F469,"GBp"),0.01,1)/IF(G469="",1,G469),"")</f>
        <v/>
      </c>
      <c r="J469" s="45" t="n"/>
      <c r="K469" s="29">
        <f>IF(B469="","",IF(B469="Deposit",J469,IF(B469="Withdrawal",-J469,IF(B469="Buy",-(I469+H469),IF(B469="Sell",I469-H469,IF(B469="Dividend",J469,IF(B469="Fee",-J469,0)))))))</f>
        <v/>
      </c>
      <c r="L469" s="27" t="n"/>
    </row>
    <row r="470">
      <c r="A470" s="43" t="n"/>
      <c r="B470" s="27" t="n"/>
      <c r="C470" s="27" t="n"/>
      <c r="D470" s="44" t="n"/>
      <c r="E470" s="30" t="n"/>
      <c r="F470" s="27" t="n"/>
      <c r="G470" s="31" t="n"/>
      <c r="H470" s="45" t="n"/>
      <c r="I470" s="29">
        <f>IF(OR(B470="Buy",B470="Sell"),D470*E470*IF(EXACT(F470,"GBp"),0.01,1)/IF(G470="",1,G470),"")</f>
        <v/>
      </c>
      <c r="J470" s="45" t="n"/>
      <c r="K470" s="29">
        <f>IF(B470="","",IF(B470="Deposit",J470,IF(B470="Withdrawal",-J470,IF(B470="Buy",-(I470+H470),IF(B470="Sell",I470-H470,IF(B470="Dividend",J470,IF(B470="Fee",-J470,0)))))))</f>
        <v/>
      </c>
      <c r="L470" s="27" t="n"/>
    </row>
    <row r="471">
      <c r="A471" s="43" t="n"/>
      <c r="B471" s="27" t="n"/>
      <c r="C471" s="27" t="n"/>
      <c r="D471" s="44" t="n"/>
      <c r="E471" s="30" t="n"/>
      <c r="F471" s="27" t="n"/>
      <c r="G471" s="31" t="n"/>
      <c r="H471" s="45" t="n"/>
      <c r="I471" s="29">
        <f>IF(OR(B471="Buy",B471="Sell"),D471*E471*IF(EXACT(F471,"GBp"),0.01,1)/IF(G471="",1,G471),"")</f>
        <v/>
      </c>
      <c r="J471" s="45" t="n"/>
      <c r="K471" s="29">
        <f>IF(B471="","",IF(B471="Deposit",J471,IF(B471="Withdrawal",-J471,IF(B471="Buy",-(I471+H471),IF(B471="Sell",I471-H471,IF(B471="Dividend",J471,IF(B471="Fee",-J471,0)))))))</f>
        <v/>
      </c>
      <c r="L471" s="27" t="n"/>
    </row>
    <row r="472">
      <c r="A472" s="43" t="n"/>
      <c r="B472" s="27" t="n"/>
      <c r="C472" s="27" t="n"/>
      <c r="D472" s="44" t="n"/>
      <c r="E472" s="30" t="n"/>
      <c r="F472" s="27" t="n"/>
      <c r="G472" s="31" t="n"/>
      <c r="H472" s="45" t="n"/>
      <c r="I472" s="29">
        <f>IF(OR(B472="Buy",B472="Sell"),D472*E472*IF(EXACT(F472,"GBp"),0.01,1)/IF(G472="",1,G472),"")</f>
        <v/>
      </c>
      <c r="J472" s="45" t="n"/>
      <c r="K472" s="29">
        <f>IF(B472="","",IF(B472="Deposit",J472,IF(B472="Withdrawal",-J472,IF(B472="Buy",-(I472+H472),IF(B472="Sell",I472-H472,IF(B472="Dividend",J472,IF(B472="Fee",-J472,0)))))))</f>
        <v/>
      </c>
      <c r="L472" s="27" t="n"/>
    </row>
    <row r="473">
      <c r="A473" s="43" t="n"/>
      <c r="B473" s="27" t="n"/>
      <c r="C473" s="27" t="n"/>
      <c r="D473" s="44" t="n"/>
      <c r="E473" s="30" t="n"/>
      <c r="F473" s="27" t="n"/>
      <c r="G473" s="31" t="n"/>
      <c r="H473" s="45" t="n"/>
      <c r="I473" s="29">
        <f>IF(OR(B473="Buy",B473="Sell"),D473*E473*IF(EXACT(F473,"GBp"),0.01,1)/IF(G473="",1,G473),"")</f>
        <v/>
      </c>
      <c r="J473" s="45" t="n"/>
      <c r="K473" s="29">
        <f>IF(B473="","",IF(B473="Deposit",J473,IF(B473="Withdrawal",-J473,IF(B473="Buy",-(I473+H473),IF(B473="Sell",I473-H473,IF(B473="Dividend",J473,IF(B473="Fee",-J473,0)))))))</f>
        <v/>
      </c>
      <c r="L473" s="27" t="n"/>
    </row>
    <row r="474">
      <c r="A474" s="43" t="n"/>
      <c r="B474" s="27" t="n"/>
      <c r="C474" s="27" t="n"/>
      <c r="D474" s="44" t="n"/>
      <c r="E474" s="30" t="n"/>
      <c r="F474" s="27" t="n"/>
      <c r="G474" s="31" t="n"/>
      <c r="H474" s="45" t="n"/>
      <c r="I474" s="29">
        <f>IF(OR(B474="Buy",B474="Sell"),D474*E474*IF(EXACT(F474,"GBp"),0.01,1)/IF(G474="",1,G474),"")</f>
        <v/>
      </c>
      <c r="J474" s="45" t="n"/>
      <c r="K474" s="29">
        <f>IF(B474="","",IF(B474="Deposit",J474,IF(B474="Withdrawal",-J474,IF(B474="Buy",-(I474+H474),IF(B474="Sell",I474-H474,IF(B474="Dividend",J474,IF(B474="Fee",-J474,0)))))))</f>
        <v/>
      </c>
      <c r="L474" s="27" t="n"/>
    </row>
    <row r="475">
      <c r="A475" s="43" t="n"/>
      <c r="B475" s="27" t="n"/>
      <c r="C475" s="27" t="n"/>
      <c r="D475" s="44" t="n"/>
      <c r="E475" s="30" t="n"/>
      <c r="F475" s="27" t="n"/>
      <c r="G475" s="31" t="n"/>
      <c r="H475" s="45" t="n"/>
      <c r="I475" s="29">
        <f>IF(OR(B475="Buy",B475="Sell"),D475*E475*IF(EXACT(F475,"GBp"),0.01,1)/IF(G475="",1,G475),"")</f>
        <v/>
      </c>
      <c r="J475" s="45" t="n"/>
      <c r="K475" s="29">
        <f>IF(B475="","",IF(B475="Deposit",J475,IF(B475="Withdrawal",-J475,IF(B475="Buy",-(I475+H475),IF(B475="Sell",I475-H475,IF(B475="Dividend",J475,IF(B475="Fee",-J475,0)))))))</f>
        <v/>
      </c>
      <c r="L475" s="27" t="n"/>
    </row>
    <row r="476">
      <c r="A476" s="43" t="n"/>
      <c r="B476" s="27" t="n"/>
      <c r="C476" s="27" t="n"/>
      <c r="D476" s="44" t="n"/>
      <c r="E476" s="30" t="n"/>
      <c r="F476" s="27" t="n"/>
      <c r="G476" s="31" t="n"/>
      <c r="H476" s="45" t="n"/>
      <c r="I476" s="29">
        <f>IF(OR(B476="Buy",B476="Sell"),D476*E476*IF(EXACT(F476,"GBp"),0.01,1)/IF(G476="",1,G476),"")</f>
        <v/>
      </c>
      <c r="J476" s="45" t="n"/>
      <c r="K476" s="29">
        <f>IF(B476="","",IF(B476="Deposit",J476,IF(B476="Withdrawal",-J476,IF(B476="Buy",-(I476+H476),IF(B476="Sell",I476-H476,IF(B476="Dividend",J476,IF(B476="Fee",-J476,0)))))))</f>
        <v/>
      </c>
      <c r="L476" s="27" t="n"/>
    </row>
    <row r="477">
      <c r="A477" s="43" t="n"/>
      <c r="B477" s="27" t="n"/>
      <c r="C477" s="27" t="n"/>
      <c r="D477" s="44" t="n"/>
      <c r="E477" s="30" t="n"/>
      <c r="F477" s="27" t="n"/>
      <c r="G477" s="31" t="n"/>
      <c r="H477" s="45" t="n"/>
      <c r="I477" s="29">
        <f>IF(OR(B477="Buy",B477="Sell"),D477*E477*IF(EXACT(F477,"GBp"),0.01,1)/IF(G477="",1,G477),"")</f>
        <v/>
      </c>
      <c r="J477" s="45" t="n"/>
      <c r="K477" s="29">
        <f>IF(B477="","",IF(B477="Deposit",J477,IF(B477="Withdrawal",-J477,IF(B477="Buy",-(I477+H477),IF(B477="Sell",I477-H477,IF(B477="Dividend",J477,IF(B477="Fee",-J477,0)))))))</f>
        <v/>
      </c>
      <c r="L477" s="27" t="n"/>
    </row>
    <row r="478">
      <c r="A478" s="43" t="n"/>
      <c r="B478" s="27" t="n"/>
      <c r="C478" s="27" t="n"/>
      <c r="D478" s="44" t="n"/>
      <c r="E478" s="30" t="n"/>
      <c r="F478" s="27" t="n"/>
      <c r="G478" s="31" t="n"/>
      <c r="H478" s="45" t="n"/>
      <c r="I478" s="29">
        <f>IF(OR(B478="Buy",B478="Sell"),D478*E478*IF(EXACT(F478,"GBp"),0.01,1)/IF(G478="",1,G478),"")</f>
        <v/>
      </c>
      <c r="J478" s="45" t="n"/>
      <c r="K478" s="29">
        <f>IF(B478="","",IF(B478="Deposit",J478,IF(B478="Withdrawal",-J478,IF(B478="Buy",-(I478+H478),IF(B478="Sell",I478-H478,IF(B478="Dividend",J478,IF(B478="Fee",-J478,0)))))))</f>
        <v/>
      </c>
      <c r="L478" s="27" t="n"/>
    </row>
    <row r="479">
      <c r="A479" s="43" t="n"/>
      <c r="B479" s="27" t="n"/>
      <c r="C479" s="27" t="n"/>
      <c r="D479" s="44" t="n"/>
      <c r="E479" s="30" t="n"/>
      <c r="F479" s="27" t="n"/>
      <c r="G479" s="31" t="n"/>
      <c r="H479" s="45" t="n"/>
      <c r="I479" s="29">
        <f>IF(OR(B479="Buy",B479="Sell"),D479*E479*IF(EXACT(F479,"GBp"),0.01,1)/IF(G479="",1,G479),"")</f>
        <v/>
      </c>
      <c r="J479" s="45" t="n"/>
      <c r="K479" s="29">
        <f>IF(B479="","",IF(B479="Deposit",J479,IF(B479="Withdrawal",-J479,IF(B479="Buy",-(I479+H479),IF(B479="Sell",I479-H479,IF(B479="Dividend",J479,IF(B479="Fee",-J479,0)))))))</f>
        <v/>
      </c>
      <c r="L479" s="27" t="n"/>
    </row>
    <row r="480">
      <c r="A480" s="43" t="n"/>
      <c r="B480" s="27" t="n"/>
      <c r="C480" s="27" t="n"/>
      <c r="D480" s="44" t="n"/>
      <c r="E480" s="30" t="n"/>
      <c r="F480" s="27" t="n"/>
      <c r="G480" s="31" t="n"/>
      <c r="H480" s="45" t="n"/>
      <c r="I480" s="29">
        <f>IF(OR(B480="Buy",B480="Sell"),D480*E480*IF(EXACT(F480,"GBp"),0.01,1)/IF(G480="",1,G480),"")</f>
        <v/>
      </c>
      <c r="J480" s="45" t="n"/>
      <c r="K480" s="29">
        <f>IF(B480="","",IF(B480="Deposit",J480,IF(B480="Withdrawal",-J480,IF(B480="Buy",-(I480+H480),IF(B480="Sell",I480-H480,IF(B480="Dividend",J480,IF(B480="Fee",-J480,0)))))))</f>
        <v/>
      </c>
      <c r="L480" s="27" t="n"/>
    </row>
    <row r="481">
      <c r="A481" s="43" t="n"/>
      <c r="B481" s="27" t="n"/>
      <c r="C481" s="27" t="n"/>
      <c r="D481" s="44" t="n"/>
      <c r="E481" s="30" t="n"/>
      <c r="F481" s="27" t="n"/>
      <c r="G481" s="31" t="n"/>
      <c r="H481" s="45" t="n"/>
      <c r="I481" s="29">
        <f>IF(OR(B481="Buy",B481="Sell"),D481*E481*IF(EXACT(F481,"GBp"),0.01,1)/IF(G481="",1,G481),"")</f>
        <v/>
      </c>
      <c r="J481" s="45" t="n"/>
      <c r="K481" s="29">
        <f>IF(B481="","",IF(B481="Deposit",J481,IF(B481="Withdrawal",-J481,IF(B481="Buy",-(I481+H481),IF(B481="Sell",I481-H481,IF(B481="Dividend",J481,IF(B481="Fee",-J481,0)))))))</f>
        <v/>
      </c>
      <c r="L481" s="27" t="n"/>
    </row>
    <row r="482">
      <c r="A482" s="43" t="n"/>
      <c r="B482" s="27" t="n"/>
      <c r="C482" s="27" t="n"/>
      <c r="D482" s="44" t="n"/>
      <c r="E482" s="30" t="n"/>
      <c r="F482" s="27" t="n"/>
      <c r="G482" s="31" t="n"/>
      <c r="H482" s="45" t="n"/>
      <c r="I482" s="29">
        <f>IF(OR(B482="Buy",B482="Sell"),D482*E482*IF(EXACT(F482,"GBp"),0.01,1)/IF(G482="",1,G482),"")</f>
        <v/>
      </c>
      <c r="J482" s="45" t="n"/>
      <c r="K482" s="29">
        <f>IF(B482="","",IF(B482="Deposit",J482,IF(B482="Withdrawal",-J482,IF(B482="Buy",-(I482+H482),IF(B482="Sell",I482-H482,IF(B482="Dividend",J482,IF(B482="Fee",-J482,0)))))))</f>
        <v/>
      </c>
      <c r="L482" s="27" t="n"/>
    </row>
    <row r="483">
      <c r="A483" s="43" t="n"/>
      <c r="B483" s="27" t="n"/>
      <c r="C483" s="27" t="n"/>
      <c r="D483" s="44" t="n"/>
      <c r="E483" s="30" t="n"/>
      <c r="F483" s="27" t="n"/>
      <c r="G483" s="31" t="n"/>
      <c r="H483" s="45" t="n"/>
      <c r="I483" s="29">
        <f>IF(OR(B483="Buy",B483="Sell"),D483*E483*IF(EXACT(F483,"GBp"),0.01,1)/IF(G483="",1,G483),"")</f>
        <v/>
      </c>
      <c r="J483" s="45" t="n"/>
      <c r="K483" s="29">
        <f>IF(B483="","",IF(B483="Deposit",J483,IF(B483="Withdrawal",-J483,IF(B483="Buy",-(I483+H483),IF(B483="Sell",I483-H483,IF(B483="Dividend",J483,IF(B483="Fee",-J483,0)))))))</f>
        <v/>
      </c>
      <c r="L483" s="27" t="n"/>
    </row>
    <row r="484">
      <c r="A484" s="43" t="n"/>
      <c r="B484" s="27" t="n"/>
      <c r="C484" s="27" t="n"/>
      <c r="D484" s="44" t="n"/>
      <c r="E484" s="30" t="n"/>
      <c r="F484" s="27" t="n"/>
      <c r="G484" s="31" t="n"/>
      <c r="H484" s="45" t="n"/>
      <c r="I484" s="29">
        <f>IF(OR(B484="Buy",B484="Sell"),D484*E484*IF(EXACT(F484,"GBp"),0.01,1)/IF(G484="",1,G484),"")</f>
        <v/>
      </c>
      <c r="J484" s="45" t="n"/>
      <c r="K484" s="29">
        <f>IF(B484="","",IF(B484="Deposit",J484,IF(B484="Withdrawal",-J484,IF(B484="Buy",-(I484+H484),IF(B484="Sell",I484-H484,IF(B484="Dividend",J484,IF(B484="Fee",-J484,0)))))))</f>
        <v/>
      </c>
      <c r="L484" s="27" t="n"/>
    </row>
    <row r="485">
      <c r="A485" s="43" t="n"/>
      <c r="B485" s="27" t="n"/>
      <c r="C485" s="27" t="n"/>
      <c r="D485" s="44" t="n"/>
      <c r="E485" s="30" t="n"/>
      <c r="F485" s="27" t="n"/>
      <c r="G485" s="31" t="n"/>
      <c r="H485" s="45" t="n"/>
      <c r="I485" s="29">
        <f>IF(OR(B485="Buy",B485="Sell"),D485*E485*IF(EXACT(F485,"GBp"),0.01,1)/IF(G485="",1,G485),"")</f>
        <v/>
      </c>
      <c r="J485" s="45" t="n"/>
      <c r="K485" s="29">
        <f>IF(B485="","",IF(B485="Deposit",J485,IF(B485="Withdrawal",-J485,IF(B485="Buy",-(I485+H485),IF(B485="Sell",I485-H485,IF(B485="Dividend",J485,IF(B485="Fee",-J485,0)))))))</f>
        <v/>
      </c>
      <c r="L485" s="27" t="n"/>
    </row>
    <row r="486">
      <c r="A486" s="43" t="n"/>
      <c r="B486" s="27" t="n"/>
      <c r="C486" s="27" t="n"/>
      <c r="D486" s="44" t="n"/>
      <c r="E486" s="30" t="n"/>
      <c r="F486" s="27" t="n"/>
      <c r="G486" s="31" t="n"/>
      <c r="H486" s="45" t="n"/>
      <c r="I486" s="29">
        <f>IF(OR(B486="Buy",B486="Sell"),D486*E486*IF(EXACT(F486,"GBp"),0.01,1)/IF(G486="",1,G486),"")</f>
        <v/>
      </c>
      <c r="J486" s="45" t="n"/>
      <c r="K486" s="29">
        <f>IF(B486="","",IF(B486="Deposit",J486,IF(B486="Withdrawal",-J486,IF(B486="Buy",-(I486+H486),IF(B486="Sell",I486-H486,IF(B486="Dividend",J486,IF(B486="Fee",-J486,0)))))))</f>
        <v/>
      </c>
      <c r="L486" s="27" t="n"/>
    </row>
    <row r="487">
      <c r="A487" s="43" t="n"/>
      <c r="B487" s="27" t="n"/>
      <c r="C487" s="27" t="n"/>
      <c r="D487" s="44" t="n"/>
      <c r="E487" s="30" t="n"/>
      <c r="F487" s="27" t="n"/>
      <c r="G487" s="31" t="n"/>
      <c r="H487" s="45" t="n"/>
      <c r="I487" s="29">
        <f>IF(OR(B487="Buy",B487="Sell"),D487*E487*IF(EXACT(F487,"GBp"),0.01,1)/IF(G487="",1,G487),"")</f>
        <v/>
      </c>
      <c r="J487" s="45" t="n"/>
      <c r="K487" s="29">
        <f>IF(B487="","",IF(B487="Deposit",J487,IF(B487="Withdrawal",-J487,IF(B487="Buy",-(I487+H487),IF(B487="Sell",I487-H487,IF(B487="Dividend",J487,IF(B487="Fee",-J487,0)))))))</f>
        <v/>
      </c>
      <c r="L487" s="27" t="n"/>
    </row>
    <row r="488">
      <c r="A488" s="43" t="n"/>
      <c r="B488" s="27" t="n"/>
      <c r="C488" s="27" t="n"/>
      <c r="D488" s="44" t="n"/>
      <c r="E488" s="30" t="n"/>
      <c r="F488" s="27" t="n"/>
      <c r="G488" s="31" t="n"/>
      <c r="H488" s="45" t="n"/>
      <c r="I488" s="29">
        <f>IF(OR(B488="Buy",B488="Sell"),D488*E488*IF(EXACT(F488,"GBp"),0.01,1)/IF(G488="",1,G488),"")</f>
        <v/>
      </c>
      <c r="J488" s="45" t="n"/>
      <c r="K488" s="29">
        <f>IF(B488="","",IF(B488="Deposit",J488,IF(B488="Withdrawal",-J488,IF(B488="Buy",-(I488+H488),IF(B488="Sell",I488-H488,IF(B488="Dividend",J488,IF(B488="Fee",-J488,0)))))))</f>
        <v/>
      </c>
      <c r="L488" s="27" t="n"/>
    </row>
    <row r="489">
      <c r="A489" s="43" t="n"/>
      <c r="B489" s="27" t="n"/>
      <c r="C489" s="27" t="n"/>
      <c r="D489" s="44" t="n"/>
      <c r="E489" s="30" t="n"/>
      <c r="F489" s="27" t="n"/>
      <c r="G489" s="31" t="n"/>
      <c r="H489" s="45" t="n"/>
      <c r="I489" s="29">
        <f>IF(OR(B489="Buy",B489="Sell"),D489*E489*IF(EXACT(F489,"GBp"),0.01,1)/IF(G489="",1,G489),"")</f>
        <v/>
      </c>
      <c r="J489" s="45" t="n"/>
      <c r="K489" s="29">
        <f>IF(B489="","",IF(B489="Deposit",J489,IF(B489="Withdrawal",-J489,IF(B489="Buy",-(I489+H489),IF(B489="Sell",I489-H489,IF(B489="Dividend",J489,IF(B489="Fee",-J489,0)))))))</f>
        <v/>
      </c>
      <c r="L489" s="27" t="n"/>
    </row>
    <row r="490">
      <c r="A490" s="43" t="n"/>
      <c r="B490" s="27" t="n"/>
      <c r="C490" s="27" t="n"/>
      <c r="D490" s="44" t="n"/>
      <c r="E490" s="30" t="n"/>
      <c r="F490" s="27" t="n"/>
      <c r="G490" s="31" t="n"/>
      <c r="H490" s="45" t="n"/>
      <c r="I490" s="29">
        <f>IF(OR(B490="Buy",B490="Sell"),D490*E490*IF(EXACT(F490,"GBp"),0.01,1)/IF(G490="",1,G490),"")</f>
        <v/>
      </c>
      <c r="J490" s="45" t="n"/>
      <c r="K490" s="29">
        <f>IF(B490="","",IF(B490="Deposit",J490,IF(B490="Withdrawal",-J490,IF(B490="Buy",-(I490+H490),IF(B490="Sell",I490-H490,IF(B490="Dividend",J490,IF(B490="Fee",-J490,0)))))))</f>
        <v/>
      </c>
      <c r="L490" s="27" t="n"/>
    </row>
    <row r="491">
      <c r="A491" s="43" t="n"/>
      <c r="B491" s="27" t="n"/>
      <c r="C491" s="27" t="n"/>
      <c r="D491" s="44" t="n"/>
      <c r="E491" s="30" t="n"/>
      <c r="F491" s="27" t="n"/>
      <c r="G491" s="31" t="n"/>
      <c r="H491" s="45" t="n"/>
      <c r="I491" s="29">
        <f>IF(OR(B491="Buy",B491="Sell"),D491*E491*IF(EXACT(F491,"GBp"),0.01,1)/IF(G491="",1,G491),"")</f>
        <v/>
      </c>
      <c r="J491" s="45" t="n"/>
      <c r="K491" s="29">
        <f>IF(B491="","",IF(B491="Deposit",J491,IF(B491="Withdrawal",-J491,IF(B491="Buy",-(I491+H491),IF(B491="Sell",I491-H491,IF(B491="Dividend",J491,IF(B491="Fee",-J491,0)))))))</f>
        <v/>
      </c>
      <c r="L491" s="27" t="n"/>
    </row>
    <row r="492">
      <c r="A492" s="43" t="n"/>
      <c r="B492" s="27" t="n"/>
      <c r="C492" s="27" t="n"/>
      <c r="D492" s="44" t="n"/>
      <c r="E492" s="30" t="n"/>
      <c r="F492" s="27" t="n"/>
      <c r="G492" s="31" t="n"/>
      <c r="H492" s="45" t="n"/>
      <c r="I492" s="29">
        <f>IF(OR(B492="Buy",B492="Sell"),D492*E492*IF(EXACT(F492,"GBp"),0.01,1)/IF(G492="",1,G492),"")</f>
        <v/>
      </c>
      <c r="J492" s="45" t="n"/>
      <c r="K492" s="29">
        <f>IF(B492="","",IF(B492="Deposit",J492,IF(B492="Withdrawal",-J492,IF(B492="Buy",-(I492+H492),IF(B492="Sell",I492-H492,IF(B492="Dividend",J492,IF(B492="Fee",-J492,0)))))))</f>
        <v/>
      </c>
      <c r="L492" s="27" t="n"/>
    </row>
    <row r="493">
      <c r="A493" s="43" t="n"/>
      <c r="B493" s="27" t="n"/>
      <c r="C493" s="27" t="n"/>
      <c r="D493" s="44" t="n"/>
      <c r="E493" s="30" t="n"/>
      <c r="F493" s="27" t="n"/>
      <c r="G493" s="31" t="n"/>
      <c r="H493" s="45" t="n"/>
      <c r="I493" s="29">
        <f>IF(OR(B493="Buy",B493="Sell"),D493*E493*IF(EXACT(F493,"GBp"),0.01,1)/IF(G493="",1,G493),"")</f>
        <v/>
      </c>
      <c r="J493" s="45" t="n"/>
      <c r="K493" s="29">
        <f>IF(B493="","",IF(B493="Deposit",J493,IF(B493="Withdrawal",-J493,IF(B493="Buy",-(I493+H493),IF(B493="Sell",I493-H493,IF(B493="Dividend",J493,IF(B493="Fee",-J493,0)))))))</f>
        <v/>
      </c>
      <c r="L493" s="27" t="n"/>
    </row>
    <row r="494">
      <c r="A494" s="43" t="n"/>
      <c r="B494" s="27" t="n"/>
      <c r="C494" s="27" t="n"/>
      <c r="D494" s="44" t="n"/>
      <c r="E494" s="30" t="n"/>
      <c r="F494" s="27" t="n"/>
      <c r="G494" s="31" t="n"/>
      <c r="H494" s="45" t="n"/>
      <c r="I494" s="29">
        <f>IF(OR(B494="Buy",B494="Sell"),D494*E494*IF(EXACT(F494,"GBp"),0.01,1)/IF(G494="",1,G494),"")</f>
        <v/>
      </c>
      <c r="J494" s="45" t="n"/>
      <c r="K494" s="29">
        <f>IF(B494="","",IF(B494="Deposit",J494,IF(B494="Withdrawal",-J494,IF(B494="Buy",-(I494+H494),IF(B494="Sell",I494-H494,IF(B494="Dividend",J494,IF(B494="Fee",-J494,0)))))))</f>
        <v/>
      </c>
      <c r="L494" s="27" t="n"/>
    </row>
    <row r="495">
      <c r="A495" s="43" t="n"/>
      <c r="B495" s="27" t="n"/>
      <c r="C495" s="27" t="n"/>
      <c r="D495" s="44" t="n"/>
      <c r="E495" s="30" t="n"/>
      <c r="F495" s="27" t="n"/>
      <c r="G495" s="31" t="n"/>
      <c r="H495" s="45" t="n"/>
      <c r="I495" s="29">
        <f>IF(OR(B495="Buy",B495="Sell"),D495*E495*IF(EXACT(F495,"GBp"),0.01,1)/IF(G495="",1,G495),"")</f>
        <v/>
      </c>
      <c r="J495" s="45" t="n"/>
      <c r="K495" s="29">
        <f>IF(B495="","",IF(B495="Deposit",J495,IF(B495="Withdrawal",-J495,IF(B495="Buy",-(I495+H495),IF(B495="Sell",I495-H495,IF(B495="Dividend",J495,IF(B495="Fee",-J495,0)))))))</f>
        <v/>
      </c>
      <c r="L495" s="27" t="n"/>
    </row>
    <row r="496">
      <c r="A496" s="43" t="n"/>
      <c r="B496" s="27" t="n"/>
      <c r="C496" s="27" t="n"/>
      <c r="D496" s="44" t="n"/>
      <c r="E496" s="30" t="n"/>
      <c r="F496" s="27" t="n"/>
      <c r="G496" s="31" t="n"/>
      <c r="H496" s="45" t="n"/>
      <c r="I496" s="29">
        <f>IF(OR(B496="Buy",B496="Sell"),D496*E496*IF(EXACT(F496,"GBp"),0.01,1)/IF(G496="",1,G496),"")</f>
        <v/>
      </c>
      <c r="J496" s="45" t="n"/>
      <c r="K496" s="29">
        <f>IF(B496="","",IF(B496="Deposit",J496,IF(B496="Withdrawal",-J496,IF(B496="Buy",-(I496+H496),IF(B496="Sell",I496-H496,IF(B496="Dividend",J496,IF(B496="Fee",-J496,0)))))))</f>
        <v/>
      </c>
      <c r="L496" s="27" t="n"/>
    </row>
    <row r="497">
      <c r="A497" s="43" t="n"/>
      <c r="B497" s="27" t="n"/>
      <c r="C497" s="27" t="n"/>
      <c r="D497" s="44" t="n"/>
      <c r="E497" s="30" t="n"/>
      <c r="F497" s="27" t="n"/>
      <c r="G497" s="31" t="n"/>
      <c r="H497" s="45" t="n"/>
      <c r="I497" s="29">
        <f>IF(OR(B497="Buy",B497="Sell"),D497*E497*IF(EXACT(F497,"GBp"),0.01,1)/IF(G497="",1,G497),"")</f>
        <v/>
      </c>
      <c r="J497" s="45" t="n"/>
      <c r="K497" s="29">
        <f>IF(B497="","",IF(B497="Deposit",J497,IF(B497="Withdrawal",-J497,IF(B497="Buy",-(I497+H497),IF(B497="Sell",I497-H497,IF(B497="Dividend",J497,IF(B497="Fee",-J497,0)))))))</f>
        <v/>
      </c>
      <c r="L497" s="27" t="n"/>
    </row>
    <row r="498">
      <c r="A498" s="43" t="n"/>
      <c r="B498" s="27" t="n"/>
      <c r="C498" s="27" t="n"/>
      <c r="D498" s="44" t="n"/>
      <c r="E498" s="30" t="n"/>
      <c r="F498" s="27" t="n"/>
      <c r="G498" s="31" t="n"/>
      <c r="H498" s="45" t="n"/>
      <c r="I498" s="29">
        <f>IF(OR(B498="Buy",B498="Sell"),D498*E498*IF(EXACT(F498,"GBp"),0.01,1)/IF(G498="",1,G498),"")</f>
        <v/>
      </c>
      <c r="J498" s="45" t="n"/>
      <c r="K498" s="29">
        <f>IF(B498="","",IF(B498="Deposit",J498,IF(B498="Withdrawal",-J498,IF(B498="Buy",-(I498+H498),IF(B498="Sell",I498-H498,IF(B498="Dividend",J498,IF(B498="Fee",-J498,0)))))))</f>
        <v/>
      </c>
      <c r="L498" s="27" t="n"/>
    </row>
    <row r="499">
      <c r="A499" s="43" t="n"/>
      <c r="B499" s="27" t="n"/>
      <c r="C499" s="27" t="n"/>
      <c r="D499" s="44" t="n"/>
      <c r="E499" s="30" t="n"/>
      <c r="F499" s="27" t="n"/>
      <c r="G499" s="31" t="n"/>
      <c r="H499" s="45" t="n"/>
      <c r="I499" s="29">
        <f>IF(OR(B499="Buy",B499="Sell"),D499*E499*IF(EXACT(F499,"GBp"),0.01,1)/IF(G499="",1,G499),"")</f>
        <v/>
      </c>
      <c r="J499" s="45" t="n"/>
      <c r="K499" s="29">
        <f>IF(B499="","",IF(B499="Deposit",J499,IF(B499="Withdrawal",-J499,IF(B499="Buy",-(I499+H499),IF(B499="Sell",I499-H499,IF(B499="Dividend",J499,IF(B499="Fee",-J499,0)))))))</f>
        <v/>
      </c>
      <c r="L499" s="27" t="n"/>
    </row>
    <row r="500">
      <c r="A500" s="43" t="n"/>
      <c r="B500" s="27" t="n"/>
      <c r="C500" s="27" t="n"/>
      <c r="D500" s="44" t="n"/>
      <c r="E500" s="30" t="n"/>
      <c r="F500" s="27" t="n"/>
      <c r="G500" s="31" t="n"/>
      <c r="H500" s="45" t="n"/>
      <c r="I500" s="29">
        <f>IF(OR(B500="Buy",B500="Sell"),D500*E500*IF(EXACT(F500,"GBp"),0.01,1)/IF(G500="",1,G500),"")</f>
        <v/>
      </c>
      <c r="J500" s="45" t="n"/>
      <c r="K500" s="29">
        <f>IF(B500="","",IF(B500="Deposit",J500,IF(B500="Withdrawal",-J500,IF(B500="Buy",-(I500+H500),IF(B500="Sell",I500-H500,IF(B500="Dividend",J500,IF(B500="Fee",-J500,0)))))))</f>
        <v/>
      </c>
      <c r="L500" s="27" t="n"/>
    </row>
    <row r="501">
      <c r="A501" s="43" t="n"/>
      <c r="B501" s="27" t="n"/>
      <c r="C501" s="27" t="n"/>
      <c r="D501" s="44" t="n"/>
      <c r="E501" s="30" t="n"/>
      <c r="F501" s="27" t="n"/>
      <c r="G501" s="31" t="n"/>
      <c r="H501" s="45" t="n"/>
      <c r="I501" s="29">
        <f>IF(OR(B501="Buy",B501="Sell"),D501*E501*IF(EXACT(F501,"GBp"),0.01,1)/IF(G501="",1,G501),"")</f>
        <v/>
      </c>
      <c r="J501" s="45" t="n"/>
      <c r="K501" s="29">
        <f>IF(B501="","",IF(B501="Deposit",J501,IF(B501="Withdrawal",-J501,IF(B501="Buy",-(I501+H501),IF(B501="Sell",I501-H501,IF(B501="Dividend",J501,IF(B501="Fee",-J501,0)))))))</f>
        <v/>
      </c>
      <c r="L501" s="27" t="n"/>
    </row>
    <row r="502">
      <c r="A502" s="43" t="n"/>
      <c r="B502" s="27" t="n"/>
      <c r="C502" s="27" t="n"/>
      <c r="D502" s="44" t="n"/>
      <c r="E502" s="30" t="n"/>
      <c r="F502" s="27" t="n"/>
      <c r="G502" s="31" t="n"/>
      <c r="H502" s="45" t="n"/>
      <c r="I502" s="29">
        <f>IF(OR(B502="Buy",B502="Sell"),D502*E502*IF(EXACT(F502,"GBp"),0.01,1)/IF(G502="",1,G502),"")</f>
        <v/>
      </c>
      <c r="J502" s="45" t="n"/>
      <c r="K502" s="29">
        <f>IF(B502="","",IF(B502="Deposit",J502,IF(B502="Withdrawal",-J502,IF(B502="Buy",-(I502+H502),IF(B502="Sell",I502-H502,IF(B502="Dividend",J502,IF(B502="Fee",-J502,0)))))))</f>
        <v/>
      </c>
      <c r="L502" s="27" t="n"/>
    </row>
    <row r="503">
      <c r="A503" s="43" t="n"/>
      <c r="B503" s="27" t="n"/>
      <c r="C503" s="27" t="n"/>
      <c r="D503" s="44" t="n"/>
      <c r="E503" s="30" t="n"/>
      <c r="F503" s="27" t="n"/>
      <c r="G503" s="31" t="n"/>
      <c r="H503" s="45" t="n"/>
      <c r="I503" s="29">
        <f>IF(OR(B503="Buy",B503="Sell"),D503*E503*IF(EXACT(F503,"GBp"),0.01,1)/IF(G503="",1,G503),"")</f>
        <v/>
      </c>
      <c r="J503" s="45" t="n"/>
      <c r="K503" s="29">
        <f>IF(B503="","",IF(B503="Deposit",J503,IF(B503="Withdrawal",-J503,IF(B503="Buy",-(I503+H503),IF(B503="Sell",I503-H503,IF(B503="Dividend",J503,IF(B503="Fee",-J503,0)))))))</f>
        <v/>
      </c>
      <c r="L503" s="27" t="n"/>
    </row>
    <row r="504">
      <c r="A504" s="43" t="n"/>
      <c r="B504" s="27" t="n"/>
      <c r="C504" s="27" t="n"/>
      <c r="D504" s="44" t="n"/>
      <c r="E504" s="30" t="n"/>
      <c r="F504" s="27" t="n"/>
      <c r="G504" s="31" t="n"/>
      <c r="H504" s="45" t="n"/>
      <c r="I504" s="29">
        <f>IF(OR(B504="Buy",B504="Sell"),D504*E504*IF(EXACT(F504,"GBp"),0.01,1)/IF(G504="",1,G504),"")</f>
        <v/>
      </c>
      <c r="J504" s="45" t="n"/>
      <c r="K504" s="29">
        <f>IF(B504="","",IF(B504="Deposit",J504,IF(B504="Withdrawal",-J504,IF(B504="Buy",-(I504+H504),IF(B504="Sell",I504-H504,IF(B504="Dividend",J504,IF(B504="Fee",-J504,0)))))))</f>
        <v/>
      </c>
      <c r="L504" s="27" t="n"/>
    </row>
    <row r="505">
      <c r="A505" s="43" t="n"/>
      <c r="B505" s="27" t="n"/>
      <c r="C505" s="27" t="n"/>
      <c r="D505" s="44" t="n"/>
      <c r="E505" s="30" t="n"/>
      <c r="F505" s="27" t="n"/>
      <c r="G505" s="31" t="n"/>
      <c r="H505" s="45" t="n"/>
      <c r="I505" s="29">
        <f>IF(OR(B505="Buy",B505="Sell"),D505*E505*IF(EXACT(F505,"GBp"),0.01,1)/IF(G505="",1,G505),"")</f>
        <v/>
      </c>
      <c r="J505" s="45" t="n"/>
      <c r="K505" s="29">
        <f>IF(B505="","",IF(B505="Deposit",J505,IF(B505="Withdrawal",-J505,IF(B505="Buy",-(I505+H505),IF(B505="Sell",I505-H505,IF(B505="Dividend",J505,IF(B505="Fee",-J505,0)))))))</f>
        <v/>
      </c>
      <c r="L505" s="27" t="n"/>
    </row>
  </sheetData>
  <dataValidations count="1">
    <dataValidation sqref="B6:B505" showDropDown="0" showInputMessage="0" showErrorMessage="0" allowBlank="1" type="list">
      <formula1>=Settings!$H$14:$H$19</formula1>
    </dataValidation>
  </dataValidations>
  <pageMargins left="0.75" right="0.75" top="1" bottom="1" header="0.5" footer="0.5"/>
</worksheet>
</file>

<file path=xl/worksheets/sheet5.xml><?xml version="1.0" encoding="utf-8"?>
<worksheet xmlns="http://schemas.openxmlformats.org/spreadsheetml/2006/main">
  <sheetPr>
    <tabColor rgb="002A78D6"/>
    <outlinePr summaryBelow="1" summaryRight="1"/>
    <pageSetUpPr/>
  </sheetPr>
  <dimension ref="A1:R18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5" customWidth="1" min="3" max="3"/>
    <col width="11" customWidth="1" min="4" max="4"/>
    <col width="13"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1" customWidth="1" min="13" max="13"/>
    <col width="11" customWidth="1" min="14" max="14"/>
    <col width="11" customWidth="1" min="15" max="15"/>
    <col width="9" customWidth="1" min="16" max="16"/>
    <col width="11" customWidth="1" min="17" max="17"/>
    <col width="34" customWidth="1" min="18" max="18"/>
  </cols>
  <sheetData>
    <row r="1">
      <c r="A1" s="1" t="inlineStr">
        <is>
          <t>History</t>
        </is>
      </c>
    </row>
    <row r="2">
      <c r="A2" s="2" t="inlineStr">
        <is>
          <t>One row per month end. Type the date and total value (and the benchmark level in column E).</t>
        </is>
      </c>
    </row>
    <row r="5" ht="32" customHeight="1">
      <c r="A5" s="16" t="inlineStr">
        <is>
          <t>Month end</t>
        </is>
      </c>
      <c r="B5" s="16" t="inlineStr">
        <is>
          <t>Portfolio value (EUR)</t>
        </is>
      </c>
      <c r="C5" s="16" t="inlineStr">
        <is>
          <t>Net external flows (EUR)</t>
        </is>
      </c>
      <c r="D5" s="16" t="inlineStr">
        <is>
          <t>Portfolio return</t>
        </is>
      </c>
      <c r="E5" s="16" t="inlineStr">
        <is>
          <t>Benchmark level</t>
        </is>
      </c>
      <c r="F5" s="16" t="inlineStr">
        <is>
          <t>Benchmark return</t>
        </is>
      </c>
      <c r="G5" s="16" t="inlineStr">
        <is>
          <t>Risk-free (monthly)</t>
        </is>
      </c>
      <c r="H5" s="16" t="inlineStr">
        <is>
          <t>Excess return</t>
        </is>
      </c>
      <c r="I5" s="16" t="inlineStr">
        <is>
          <t>Benchmark excess</t>
        </is>
      </c>
      <c r="J5" s="16" t="inlineStr">
        <is>
          <t>Active return</t>
        </is>
      </c>
      <c r="K5" s="16" t="inlineStr">
        <is>
          <t>NAV portfolio (base 100)</t>
        </is>
      </c>
      <c r="L5" s="16" t="inlineStr">
        <is>
          <t>NAV benchmark (base 100)</t>
        </is>
      </c>
      <c r="M5" s="16" t="inlineStr">
        <is>
          <t>Drawdown</t>
        </is>
      </c>
      <c r="N5" s="16" t="inlineStr">
        <is>
          <t>Benchmark drawdown</t>
        </is>
      </c>
      <c r="O5" s="16" t="inlineStr">
        <is>
          <t>Downside² (helper)</t>
        </is>
      </c>
      <c r="P5" s="16" t="inlineStr">
        <is>
          <t>Year (helper)</t>
        </is>
      </c>
      <c r="Q5" s="16" t="inlineStr">
        <is>
          <t>ln(1+r) (helper)</t>
        </is>
      </c>
      <c r="R5" s="16" t="inlineStr">
        <is>
          <t>Comment</t>
        </is>
      </c>
    </row>
    <row r="6">
      <c r="A6" s="40" t="n">
        <v>45688</v>
      </c>
      <c r="B6" s="46" t="n">
        <v>10000</v>
      </c>
      <c r="C6" s="22">
        <f>IF(A6="","",SUMIFS(Transactions!$J$6:$J$505,Transactions!$B$6:$B$505,"Deposit",Transactions!$A$6:$A$505,"&gt;"&amp;0,Transactions!$A$6:$A$505,"&lt;="&amp;A6)-SUMIFS(Transactions!$J$6:$J$505,Transactions!$B$6:$B$505,"Withdrawal",Transactions!$A$6:$A$505,"&gt;"&amp;0,Transactions!$A$6:$A$505,"&lt;="&amp;A6))</f>
        <v/>
      </c>
      <c r="D6" s="47">
        <f>""</f>
        <v/>
      </c>
      <c r="E6" s="20" t="n">
        <v>412</v>
      </c>
      <c r="F6" s="47">
        <f>""</f>
        <v/>
      </c>
      <c r="G6" s="48">
        <f>IF(A6="","",Settings!$B$8/12)</f>
        <v/>
      </c>
      <c r="H6" s="47">
        <f>IF(D6="","",D6-G6)</f>
        <v/>
      </c>
      <c r="I6" s="47">
        <f>IF(F6="","",F6-G6)</f>
        <v/>
      </c>
      <c r="J6" s="47">
        <f>IF(OR(D6="",F6=""),"",D6-F6)</f>
        <v/>
      </c>
      <c r="K6" s="49">
        <f>IF(OR(A6="",B6=""),"",100)</f>
        <v/>
      </c>
      <c r="L6" s="49">
        <f>IF(E6="","",100)</f>
        <v/>
      </c>
      <c r="M6" s="23">
        <f>IF(K6="","",K6/MAX(K$6:K6)-1)</f>
        <v/>
      </c>
      <c r="N6" s="23">
        <f>IF(L6="","",L6/MAX(L$6:L6)-1)</f>
        <v/>
      </c>
      <c r="O6" s="50">
        <f>IF(H6="","",MIN(H6,0)^2)</f>
        <v/>
      </c>
      <c r="P6" s="51">
        <f>IF(A6="","",YEAR(A6))</f>
        <v/>
      </c>
      <c r="Q6" s="52">
        <f>IF(D6="","",LN(1+D6))</f>
        <v/>
      </c>
      <c r="R6" s="17" t="inlineStr">
        <is>
          <t>Example — replace</t>
        </is>
      </c>
    </row>
    <row r="7">
      <c r="A7" s="40" t="n">
        <v>45716</v>
      </c>
      <c r="B7" s="46" t="n">
        <v>10074.68</v>
      </c>
      <c r="C7" s="22">
        <f>IF(A7="","",SUMIFS(Transactions!$J$6:$J$505,Transactions!$B$6:$B$505,"Deposit",Transactions!$A$6:$A$505,"&gt;"&amp;A6,Transactions!$A$6:$A$505,"&lt;="&amp;A7)-SUMIFS(Transactions!$J$6:$J$505,Transactions!$B$6:$B$505,"Withdrawal",Transactions!$A$6:$A$505,"&gt;"&amp;A6,Transactions!$A$6:$A$505,"&lt;="&amp;A7))</f>
        <v/>
      </c>
      <c r="D7" s="47">
        <f>IF(OR(A7="",B7=""),"",IF(B6="","",(B7-B6-C7)/(B6+0.5*C7)))</f>
        <v/>
      </c>
      <c r="E7" s="20" t="n">
        <v>411.61</v>
      </c>
      <c r="F7" s="47">
        <f>IF(OR(E7="",E6=""),"",E7/E6-1)</f>
        <v/>
      </c>
      <c r="G7" s="48">
        <f>IF(A7="","",Settings!$B$8/12)</f>
        <v/>
      </c>
      <c r="H7" s="47">
        <f>IF(D7="","",D7-G7)</f>
        <v/>
      </c>
      <c r="I7" s="47">
        <f>IF(F7="","",F7-G7)</f>
        <v/>
      </c>
      <c r="J7" s="47">
        <f>IF(OR(D7="",F7=""),"",D7-F7)</f>
        <v/>
      </c>
      <c r="K7" s="49">
        <f>IF(OR(A7="",B7=""),"",IF(D7="",K6,K6*(1+D7)))</f>
        <v/>
      </c>
      <c r="L7" s="49">
        <f>IF(E7="","",IF(F7="",L6,L6*(1+F7)))</f>
        <v/>
      </c>
      <c r="M7" s="23">
        <f>IF(K7="","",K7/MAX(K$6:K7)-1)</f>
        <v/>
      </c>
      <c r="N7" s="23">
        <f>IF(L7="","",L7/MAX(L$6:L7)-1)</f>
        <v/>
      </c>
      <c r="O7" s="50">
        <f>IF(H7="","",MIN(H7,0)^2)</f>
        <v/>
      </c>
      <c r="P7" s="51">
        <f>IF(A7="","",YEAR(A7))</f>
        <v/>
      </c>
      <c r="Q7" s="52">
        <f>IF(D7="","",LN(1+D7))</f>
        <v/>
      </c>
      <c r="R7" s="17" t="inlineStr">
        <is>
          <t>Example — replace</t>
        </is>
      </c>
    </row>
    <row r="8">
      <c r="A8" s="40" t="n">
        <v>45747</v>
      </c>
      <c r="B8" s="46" t="n">
        <v>10057.35</v>
      </c>
      <c r="C8" s="22">
        <f>IF(A8="","",SUMIFS(Transactions!$J$6:$J$505,Transactions!$B$6:$B$505,"Deposit",Transactions!$A$6:$A$505,"&gt;"&amp;A7,Transactions!$A$6:$A$505,"&lt;="&amp;A8)-SUMIFS(Transactions!$J$6:$J$505,Transactions!$B$6:$B$505,"Withdrawal",Transactions!$A$6:$A$505,"&gt;"&amp;A7,Transactions!$A$6:$A$505,"&lt;="&amp;A8))</f>
        <v/>
      </c>
      <c r="D8" s="47">
        <f>IF(OR(A8="",B8=""),"",IF(B7="","",(B8-B7-C8)/(B7+0.5*C8)))</f>
        <v/>
      </c>
      <c r="E8" s="20" t="n">
        <v>411.64</v>
      </c>
      <c r="F8" s="47">
        <f>IF(OR(E8="",E7=""),"",E8/E7-1)</f>
        <v/>
      </c>
      <c r="G8" s="48">
        <f>IF(A8="","",Settings!$B$8/12)</f>
        <v/>
      </c>
      <c r="H8" s="47">
        <f>IF(D8="","",D8-G8)</f>
        <v/>
      </c>
      <c r="I8" s="47">
        <f>IF(F8="","",F8-G8)</f>
        <v/>
      </c>
      <c r="J8" s="47">
        <f>IF(OR(D8="",F8=""),"",D8-F8)</f>
        <v/>
      </c>
      <c r="K8" s="49">
        <f>IF(OR(A8="",B8=""),"",IF(D8="",K7,K7*(1+D8)))</f>
        <v/>
      </c>
      <c r="L8" s="49">
        <f>IF(E8="","",IF(F8="",L7,L7*(1+F8)))</f>
        <v/>
      </c>
      <c r="M8" s="23">
        <f>IF(K8="","",K8/MAX(K$6:K8)-1)</f>
        <v/>
      </c>
      <c r="N8" s="23">
        <f>IF(L8="","",L8/MAX(L$6:L8)-1)</f>
        <v/>
      </c>
      <c r="O8" s="50">
        <f>IF(H8="","",MIN(H8,0)^2)</f>
        <v/>
      </c>
      <c r="P8" s="51">
        <f>IF(A8="","",YEAR(A8))</f>
        <v/>
      </c>
      <c r="Q8" s="52">
        <f>IF(D8="","",LN(1+D8))</f>
        <v/>
      </c>
      <c r="R8" s="17" t="inlineStr">
        <is>
          <t>Example — replace</t>
        </is>
      </c>
    </row>
    <row r="9">
      <c r="A9" s="40" t="n">
        <v>45777</v>
      </c>
      <c r="B9" s="46" t="n">
        <v>9878.879999999999</v>
      </c>
      <c r="C9" s="22">
        <f>IF(A9="","",SUMIFS(Transactions!$J$6:$J$505,Transactions!$B$6:$B$505,"Deposit",Transactions!$A$6:$A$505,"&gt;"&amp;A8,Transactions!$A$6:$A$505,"&lt;="&amp;A9)-SUMIFS(Transactions!$J$6:$J$505,Transactions!$B$6:$B$505,"Withdrawal",Transactions!$A$6:$A$505,"&gt;"&amp;A8,Transactions!$A$6:$A$505,"&lt;="&amp;A9))</f>
        <v/>
      </c>
      <c r="D9" s="47">
        <f>IF(OR(A9="",B9=""),"",IF(B8="","",(B9-B8-C9)/(B8+0.5*C9)))</f>
        <v/>
      </c>
      <c r="E9" s="20" t="n">
        <v>401.54</v>
      </c>
      <c r="F9" s="47">
        <f>IF(OR(E9="",E8=""),"",E9/E8-1)</f>
        <v/>
      </c>
      <c r="G9" s="48">
        <f>IF(A9="","",Settings!$B$8/12)</f>
        <v/>
      </c>
      <c r="H9" s="47">
        <f>IF(D9="","",D9-G9)</f>
        <v/>
      </c>
      <c r="I9" s="47">
        <f>IF(F9="","",F9-G9)</f>
        <v/>
      </c>
      <c r="J9" s="47">
        <f>IF(OR(D9="",F9=""),"",D9-F9)</f>
        <v/>
      </c>
      <c r="K9" s="49">
        <f>IF(OR(A9="",B9=""),"",IF(D9="",K8,K8*(1+D9)))</f>
        <v/>
      </c>
      <c r="L9" s="49">
        <f>IF(E9="","",IF(F9="",L8,L8*(1+F9)))</f>
        <v/>
      </c>
      <c r="M9" s="23">
        <f>IF(K9="","",K9/MAX(K$6:K9)-1)</f>
        <v/>
      </c>
      <c r="N9" s="23">
        <f>IF(L9="","",L9/MAX(L$6:L9)-1)</f>
        <v/>
      </c>
      <c r="O9" s="50">
        <f>IF(H9="","",MIN(H9,0)^2)</f>
        <v/>
      </c>
      <c r="P9" s="51">
        <f>IF(A9="","",YEAR(A9))</f>
        <v/>
      </c>
      <c r="Q9" s="52">
        <f>IF(D9="","",LN(1+D9))</f>
        <v/>
      </c>
      <c r="R9" s="17" t="inlineStr">
        <is>
          <t>Example — replace</t>
        </is>
      </c>
    </row>
    <row r="10">
      <c r="A10" s="40" t="n">
        <v>45808</v>
      </c>
      <c r="B10" s="46" t="n">
        <v>10273.36</v>
      </c>
      <c r="C10" s="22">
        <f>IF(A10="","",SUMIFS(Transactions!$J$6:$J$505,Transactions!$B$6:$B$505,"Deposit",Transactions!$A$6:$A$505,"&gt;"&amp;A9,Transactions!$A$6:$A$505,"&lt;="&amp;A10)-SUMIFS(Transactions!$J$6:$J$505,Transactions!$B$6:$B$505,"Withdrawal",Transactions!$A$6:$A$505,"&gt;"&amp;A9,Transactions!$A$6:$A$505,"&lt;="&amp;A10))</f>
        <v/>
      </c>
      <c r="D10" s="47">
        <f>IF(OR(A10="",B10=""),"",IF(B9="","",(B10-B9-C10)/(B9+0.5*C10)))</f>
        <v/>
      </c>
      <c r="E10" s="20" t="n">
        <v>420.37</v>
      </c>
      <c r="F10" s="47">
        <f>IF(OR(E10="",E9=""),"",E10/E9-1)</f>
        <v/>
      </c>
      <c r="G10" s="48">
        <f>IF(A10="","",Settings!$B$8/12)</f>
        <v/>
      </c>
      <c r="H10" s="47">
        <f>IF(D10="","",D10-G10)</f>
        <v/>
      </c>
      <c r="I10" s="47">
        <f>IF(F10="","",F10-G10)</f>
        <v/>
      </c>
      <c r="J10" s="47">
        <f>IF(OR(D10="",F10=""),"",D10-F10)</f>
        <v/>
      </c>
      <c r="K10" s="49">
        <f>IF(OR(A10="",B10=""),"",IF(D10="",K9,K9*(1+D10)))</f>
        <v/>
      </c>
      <c r="L10" s="49">
        <f>IF(E10="","",IF(F10="",L9,L9*(1+F10)))</f>
        <v/>
      </c>
      <c r="M10" s="23">
        <f>IF(K10="","",K10/MAX(K$6:K10)-1)</f>
        <v/>
      </c>
      <c r="N10" s="23">
        <f>IF(L10="","",L10/MAX(L$6:L10)-1)</f>
        <v/>
      </c>
      <c r="O10" s="50">
        <f>IF(H10="","",MIN(H10,0)^2)</f>
        <v/>
      </c>
      <c r="P10" s="51">
        <f>IF(A10="","",YEAR(A10))</f>
        <v/>
      </c>
      <c r="Q10" s="52">
        <f>IF(D10="","",LN(1+D10))</f>
        <v/>
      </c>
      <c r="R10" s="17" t="inlineStr">
        <is>
          <t>Example — replace</t>
        </is>
      </c>
    </row>
    <row r="11">
      <c r="A11" s="40" t="n">
        <v>45838</v>
      </c>
      <c r="B11" s="46" t="n">
        <v>10643.11</v>
      </c>
      <c r="C11" s="22">
        <f>IF(A11="","",SUMIFS(Transactions!$J$6:$J$505,Transactions!$B$6:$B$505,"Deposit",Transactions!$A$6:$A$505,"&gt;"&amp;A10,Transactions!$A$6:$A$505,"&lt;="&amp;A11)-SUMIFS(Transactions!$J$6:$J$505,Transactions!$B$6:$B$505,"Withdrawal",Transactions!$A$6:$A$505,"&gt;"&amp;A10,Transactions!$A$6:$A$505,"&lt;="&amp;A11))</f>
        <v/>
      </c>
      <c r="D11" s="47">
        <f>IF(OR(A11="",B11=""),"",IF(B10="","",(B11-B10-C11)/(B10+0.5*C11)))</f>
        <v/>
      </c>
      <c r="E11" s="20" t="n">
        <v>438.99</v>
      </c>
      <c r="F11" s="47">
        <f>IF(OR(E11="",E10=""),"",E11/E10-1)</f>
        <v/>
      </c>
      <c r="G11" s="48">
        <f>IF(A11="","",Settings!$B$8/12)</f>
        <v/>
      </c>
      <c r="H11" s="47">
        <f>IF(D11="","",D11-G11)</f>
        <v/>
      </c>
      <c r="I11" s="47">
        <f>IF(F11="","",F11-G11)</f>
        <v/>
      </c>
      <c r="J11" s="47">
        <f>IF(OR(D11="",F11=""),"",D11-F11)</f>
        <v/>
      </c>
      <c r="K11" s="49">
        <f>IF(OR(A11="",B11=""),"",IF(D11="",K10,K10*(1+D11)))</f>
        <v/>
      </c>
      <c r="L11" s="49">
        <f>IF(E11="","",IF(F11="",L10,L10*(1+F11)))</f>
        <v/>
      </c>
      <c r="M11" s="23">
        <f>IF(K11="","",K11/MAX(K$6:K11)-1)</f>
        <v/>
      </c>
      <c r="N11" s="23">
        <f>IF(L11="","",L11/MAX(L$6:L11)-1)</f>
        <v/>
      </c>
      <c r="O11" s="50">
        <f>IF(H11="","",MIN(H11,0)^2)</f>
        <v/>
      </c>
      <c r="P11" s="51">
        <f>IF(A11="","",YEAR(A11))</f>
        <v/>
      </c>
      <c r="Q11" s="52">
        <f>IF(D11="","",LN(1+D11))</f>
        <v/>
      </c>
      <c r="R11" s="17" t="inlineStr">
        <is>
          <t>Example — replace</t>
        </is>
      </c>
    </row>
    <row r="12">
      <c r="A12" s="40" t="n">
        <v>45869</v>
      </c>
      <c r="B12" s="46" t="n">
        <v>12850.6</v>
      </c>
      <c r="C12" s="22">
        <f>IF(A12="","",SUMIFS(Transactions!$J$6:$J$505,Transactions!$B$6:$B$505,"Deposit",Transactions!$A$6:$A$505,"&gt;"&amp;A11,Transactions!$A$6:$A$505,"&lt;="&amp;A12)-SUMIFS(Transactions!$J$6:$J$505,Transactions!$B$6:$B$505,"Withdrawal",Transactions!$A$6:$A$505,"&gt;"&amp;A11,Transactions!$A$6:$A$505,"&lt;="&amp;A12))</f>
        <v/>
      </c>
      <c r="D12" s="47">
        <f>IF(OR(A12="",B12=""),"",IF(B11="","",(B12-B11-C12)/(B11+0.5*C12)))</f>
        <v/>
      </c>
      <c r="E12" s="20" t="n">
        <v>448.57</v>
      </c>
      <c r="F12" s="47">
        <f>IF(OR(E12="",E11=""),"",E12/E11-1)</f>
        <v/>
      </c>
      <c r="G12" s="48">
        <f>IF(A12="","",Settings!$B$8/12)</f>
        <v/>
      </c>
      <c r="H12" s="47">
        <f>IF(D12="","",D12-G12)</f>
        <v/>
      </c>
      <c r="I12" s="47">
        <f>IF(F12="","",F12-G12)</f>
        <v/>
      </c>
      <c r="J12" s="47">
        <f>IF(OR(D12="",F12=""),"",D12-F12)</f>
        <v/>
      </c>
      <c r="K12" s="49">
        <f>IF(OR(A12="",B12=""),"",IF(D12="",K11,K11*(1+D12)))</f>
        <v/>
      </c>
      <c r="L12" s="49">
        <f>IF(E12="","",IF(F12="",L11,L11*(1+F12)))</f>
        <v/>
      </c>
      <c r="M12" s="23">
        <f>IF(K12="","",K12/MAX(K$6:K12)-1)</f>
        <v/>
      </c>
      <c r="N12" s="23">
        <f>IF(L12="","",L12/MAX(L$6:L12)-1)</f>
        <v/>
      </c>
      <c r="O12" s="50">
        <f>IF(H12="","",MIN(H12,0)^2)</f>
        <v/>
      </c>
      <c r="P12" s="51">
        <f>IF(A12="","",YEAR(A12))</f>
        <v/>
      </c>
      <c r="Q12" s="52">
        <f>IF(D12="","",LN(1+D12))</f>
        <v/>
      </c>
      <c r="R12" s="17" t="inlineStr">
        <is>
          <t>Example — replace</t>
        </is>
      </c>
    </row>
    <row r="13">
      <c r="A13" s="40" t="n">
        <v>45900</v>
      </c>
      <c r="B13" s="46" t="n">
        <v>12555.61</v>
      </c>
      <c r="C13" s="22">
        <f>IF(A13="","",SUMIFS(Transactions!$J$6:$J$505,Transactions!$B$6:$B$505,"Deposit",Transactions!$A$6:$A$505,"&gt;"&amp;A12,Transactions!$A$6:$A$505,"&lt;="&amp;A13)-SUMIFS(Transactions!$J$6:$J$505,Transactions!$B$6:$B$505,"Withdrawal",Transactions!$A$6:$A$505,"&gt;"&amp;A12,Transactions!$A$6:$A$505,"&lt;="&amp;A13))</f>
        <v/>
      </c>
      <c r="D13" s="47">
        <f>IF(OR(A13="",B13=""),"",IF(B12="","",(B13-B12-C13)/(B12+0.5*C13)))</f>
        <v/>
      </c>
      <c r="E13" s="20" t="n">
        <v>426</v>
      </c>
      <c r="F13" s="47">
        <f>IF(OR(E13="",E12=""),"",E13/E12-1)</f>
        <v/>
      </c>
      <c r="G13" s="48">
        <f>IF(A13="","",Settings!$B$8/12)</f>
        <v/>
      </c>
      <c r="H13" s="47">
        <f>IF(D13="","",D13-G13)</f>
        <v/>
      </c>
      <c r="I13" s="47">
        <f>IF(F13="","",F13-G13)</f>
        <v/>
      </c>
      <c r="J13" s="47">
        <f>IF(OR(D13="",F13=""),"",D13-F13)</f>
        <v/>
      </c>
      <c r="K13" s="49">
        <f>IF(OR(A13="",B13=""),"",IF(D13="",K12,K12*(1+D13)))</f>
        <v/>
      </c>
      <c r="L13" s="49">
        <f>IF(E13="","",IF(F13="",L12,L12*(1+F13)))</f>
        <v/>
      </c>
      <c r="M13" s="23">
        <f>IF(K13="","",K13/MAX(K$6:K13)-1)</f>
        <v/>
      </c>
      <c r="N13" s="23">
        <f>IF(L13="","",L13/MAX(L$6:L13)-1)</f>
        <v/>
      </c>
      <c r="O13" s="50">
        <f>IF(H13="","",MIN(H13,0)^2)</f>
        <v/>
      </c>
      <c r="P13" s="51">
        <f>IF(A13="","",YEAR(A13))</f>
        <v/>
      </c>
      <c r="Q13" s="52">
        <f>IF(D13="","",LN(1+D13))</f>
        <v/>
      </c>
      <c r="R13" s="17" t="inlineStr">
        <is>
          <t>Example — replace</t>
        </is>
      </c>
    </row>
    <row r="14">
      <c r="A14" s="40" t="n">
        <v>45930</v>
      </c>
      <c r="B14" s="46" t="n">
        <v>12881.96</v>
      </c>
      <c r="C14" s="22">
        <f>IF(A14="","",SUMIFS(Transactions!$J$6:$J$505,Transactions!$B$6:$B$505,"Deposit",Transactions!$A$6:$A$505,"&gt;"&amp;A13,Transactions!$A$6:$A$505,"&lt;="&amp;A14)-SUMIFS(Transactions!$J$6:$J$505,Transactions!$B$6:$B$505,"Withdrawal",Transactions!$A$6:$A$505,"&gt;"&amp;A13,Transactions!$A$6:$A$505,"&lt;="&amp;A14))</f>
        <v/>
      </c>
      <c r="D14" s="47">
        <f>IF(OR(A14="",B14=""),"",IF(B13="","",(B14-B13-C14)/(B13+0.5*C14)))</f>
        <v/>
      </c>
      <c r="E14" s="20" t="n">
        <v>436.96</v>
      </c>
      <c r="F14" s="47">
        <f>IF(OR(E14="",E13=""),"",E14/E13-1)</f>
        <v/>
      </c>
      <c r="G14" s="48">
        <f>IF(A14="","",Settings!$B$8/12)</f>
        <v/>
      </c>
      <c r="H14" s="47">
        <f>IF(D14="","",D14-G14)</f>
        <v/>
      </c>
      <c r="I14" s="47">
        <f>IF(F14="","",F14-G14)</f>
        <v/>
      </c>
      <c r="J14" s="47">
        <f>IF(OR(D14="",F14=""),"",D14-F14)</f>
        <v/>
      </c>
      <c r="K14" s="49">
        <f>IF(OR(A14="",B14=""),"",IF(D14="",K13,K13*(1+D14)))</f>
        <v/>
      </c>
      <c r="L14" s="49">
        <f>IF(E14="","",IF(F14="",L13,L13*(1+F14)))</f>
        <v/>
      </c>
      <c r="M14" s="23">
        <f>IF(K14="","",K14/MAX(K$6:K14)-1)</f>
        <v/>
      </c>
      <c r="N14" s="23">
        <f>IF(L14="","",L14/MAX(L$6:L14)-1)</f>
        <v/>
      </c>
      <c r="O14" s="50">
        <f>IF(H14="","",MIN(H14,0)^2)</f>
        <v/>
      </c>
      <c r="P14" s="51">
        <f>IF(A14="","",YEAR(A14))</f>
        <v/>
      </c>
      <c r="Q14" s="52">
        <f>IF(D14="","",LN(1+D14))</f>
        <v/>
      </c>
      <c r="R14" s="17" t="inlineStr">
        <is>
          <t>Example — replace</t>
        </is>
      </c>
    </row>
    <row r="15">
      <c r="A15" s="40" t="n">
        <v>45961</v>
      </c>
      <c r="B15" s="46" t="n">
        <v>12176.48</v>
      </c>
      <c r="C15" s="22">
        <f>IF(A15="","",SUMIFS(Transactions!$J$6:$J$505,Transactions!$B$6:$B$505,"Deposit",Transactions!$A$6:$A$505,"&gt;"&amp;A14,Transactions!$A$6:$A$505,"&lt;="&amp;A15)-SUMIFS(Transactions!$J$6:$J$505,Transactions!$B$6:$B$505,"Withdrawal",Transactions!$A$6:$A$505,"&gt;"&amp;A14,Transactions!$A$6:$A$505,"&lt;="&amp;A15))</f>
        <v/>
      </c>
      <c r="D15" s="47">
        <f>IF(OR(A15="",B15=""),"",IF(B14="","",(B15-B14-C15)/(B14+0.5*C15)))</f>
        <v/>
      </c>
      <c r="E15" s="20" t="n">
        <v>414.59</v>
      </c>
      <c r="F15" s="47">
        <f>IF(OR(E15="",E14=""),"",E15/E14-1)</f>
        <v/>
      </c>
      <c r="G15" s="48">
        <f>IF(A15="","",Settings!$B$8/12)</f>
        <v/>
      </c>
      <c r="H15" s="47">
        <f>IF(D15="","",D15-G15)</f>
        <v/>
      </c>
      <c r="I15" s="47">
        <f>IF(F15="","",F15-G15)</f>
        <v/>
      </c>
      <c r="J15" s="47">
        <f>IF(OR(D15="",F15=""),"",D15-F15)</f>
        <v/>
      </c>
      <c r="K15" s="49">
        <f>IF(OR(A15="",B15=""),"",IF(D15="",K14,K14*(1+D15)))</f>
        <v/>
      </c>
      <c r="L15" s="49">
        <f>IF(E15="","",IF(F15="",L14,L14*(1+F15)))</f>
        <v/>
      </c>
      <c r="M15" s="23">
        <f>IF(K15="","",K15/MAX(K$6:K15)-1)</f>
        <v/>
      </c>
      <c r="N15" s="23">
        <f>IF(L15="","",L15/MAX(L$6:L15)-1)</f>
        <v/>
      </c>
      <c r="O15" s="50">
        <f>IF(H15="","",MIN(H15,0)^2)</f>
        <v/>
      </c>
      <c r="P15" s="51">
        <f>IF(A15="","",YEAR(A15))</f>
        <v/>
      </c>
      <c r="Q15" s="52">
        <f>IF(D15="","",LN(1+D15))</f>
        <v/>
      </c>
      <c r="R15" s="17" t="inlineStr">
        <is>
          <t>Example — replace</t>
        </is>
      </c>
    </row>
    <row r="16">
      <c r="A16" s="40" t="n">
        <v>45991</v>
      </c>
      <c r="B16" s="46" t="n">
        <v>11935.21</v>
      </c>
      <c r="C16" s="22">
        <f>IF(A16="","",SUMIFS(Transactions!$J$6:$J$505,Transactions!$B$6:$B$505,"Deposit",Transactions!$A$6:$A$505,"&gt;"&amp;A15,Transactions!$A$6:$A$505,"&lt;="&amp;A16)-SUMIFS(Transactions!$J$6:$J$505,Transactions!$B$6:$B$505,"Withdrawal",Transactions!$A$6:$A$505,"&gt;"&amp;A15,Transactions!$A$6:$A$505,"&lt;="&amp;A16))</f>
        <v/>
      </c>
      <c r="D16" s="47">
        <f>IF(OR(A16="",B16=""),"",IF(B15="","",(B16-B15-C16)/(B15+0.5*C16)))</f>
        <v/>
      </c>
      <c r="E16" s="20" t="n">
        <v>405</v>
      </c>
      <c r="F16" s="47">
        <f>IF(OR(E16="",E15=""),"",E16/E15-1)</f>
        <v/>
      </c>
      <c r="G16" s="48">
        <f>IF(A16="","",Settings!$B$8/12)</f>
        <v/>
      </c>
      <c r="H16" s="47">
        <f>IF(D16="","",D16-G16)</f>
        <v/>
      </c>
      <c r="I16" s="47">
        <f>IF(F16="","",F16-G16)</f>
        <v/>
      </c>
      <c r="J16" s="47">
        <f>IF(OR(D16="",F16=""),"",D16-F16)</f>
        <v/>
      </c>
      <c r="K16" s="49">
        <f>IF(OR(A16="",B16=""),"",IF(D16="",K15,K15*(1+D16)))</f>
        <v/>
      </c>
      <c r="L16" s="49">
        <f>IF(E16="","",IF(F16="",L15,L15*(1+F16)))</f>
        <v/>
      </c>
      <c r="M16" s="23">
        <f>IF(K16="","",K16/MAX(K$6:K16)-1)</f>
        <v/>
      </c>
      <c r="N16" s="23">
        <f>IF(L16="","",L16/MAX(L$6:L16)-1)</f>
        <v/>
      </c>
      <c r="O16" s="50">
        <f>IF(H16="","",MIN(H16,0)^2)</f>
        <v/>
      </c>
      <c r="P16" s="51">
        <f>IF(A16="","",YEAR(A16))</f>
        <v/>
      </c>
      <c r="Q16" s="52">
        <f>IF(D16="","",LN(1+D16))</f>
        <v/>
      </c>
      <c r="R16" s="17" t="inlineStr">
        <is>
          <t>Example — replace</t>
        </is>
      </c>
    </row>
    <row r="17">
      <c r="A17" s="40" t="n">
        <v>46022</v>
      </c>
      <c r="B17" s="46" t="n">
        <v>12108.66</v>
      </c>
      <c r="C17" s="22">
        <f>IF(A17="","",SUMIFS(Transactions!$J$6:$J$505,Transactions!$B$6:$B$505,"Deposit",Transactions!$A$6:$A$505,"&gt;"&amp;A16,Transactions!$A$6:$A$505,"&lt;="&amp;A17)-SUMIFS(Transactions!$J$6:$J$505,Transactions!$B$6:$B$505,"Withdrawal",Transactions!$A$6:$A$505,"&gt;"&amp;A16,Transactions!$A$6:$A$505,"&lt;="&amp;A17))</f>
        <v/>
      </c>
      <c r="D17" s="47">
        <f>IF(OR(A17="",B17=""),"",IF(B16="","",(B17-B16-C17)/(B16+0.5*C17)))</f>
        <v/>
      </c>
      <c r="E17" s="20" t="n">
        <v>412.57</v>
      </c>
      <c r="F17" s="47">
        <f>IF(OR(E17="",E16=""),"",E17/E16-1)</f>
        <v/>
      </c>
      <c r="G17" s="48">
        <f>IF(A17="","",Settings!$B$8/12)</f>
        <v/>
      </c>
      <c r="H17" s="47">
        <f>IF(D17="","",D17-G17)</f>
        <v/>
      </c>
      <c r="I17" s="47">
        <f>IF(F17="","",F17-G17)</f>
        <v/>
      </c>
      <c r="J17" s="47">
        <f>IF(OR(D17="",F17=""),"",D17-F17)</f>
        <v/>
      </c>
      <c r="K17" s="49">
        <f>IF(OR(A17="",B17=""),"",IF(D17="",K16,K16*(1+D17)))</f>
        <v/>
      </c>
      <c r="L17" s="49">
        <f>IF(E17="","",IF(F17="",L16,L16*(1+F17)))</f>
        <v/>
      </c>
      <c r="M17" s="23">
        <f>IF(K17="","",K17/MAX(K$6:K17)-1)</f>
        <v/>
      </c>
      <c r="N17" s="23">
        <f>IF(L17="","",L17/MAX(L$6:L17)-1)</f>
        <v/>
      </c>
      <c r="O17" s="50">
        <f>IF(H17="","",MIN(H17,0)^2)</f>
        <v/>
      </c>
      <c r="P17" s="51">
        <f>IF(A17="","",YEAR(A17))</f>
        <v/>
      </c>
      <c r="Q17" s="52">
        <f>IF(D17="","",LN(1+D17))</f>
        <v/>
      </c>
      <c r="R17" s="17" t="inlineStr">
        <is>
          <t>Example — replace</t>
        </is>
      </c>
    </row>
    <row r="18">
      <c r="A18" s="40" t="n">
        <v>46053</v>
      </c>
      <c r="B18" s="46" t="n">
        <v>12261.92</v>
      </c>
      <c r="C18" s="22">
        <f>IF(A18="","",SUMIFS(Transactions!$J$6:$J$505,Transactions!$B$6:$B$505,"Deposit",Transactions!$A$6:$A$505,"&gt;"&amp;A17,Transactions!$A$6:$A$505,"&lt;="&amp;A18)-SUMIFS(Transactions!$J$6:$J$505,Transactions!$B$6:$B$505,"Withdrawal",Transactions!$A$6:$A$505,"&gt;"&amp;A17,Transactions!$A$6:$A$505,"&lt;="&amp;A18))</f>
        <v/>
      </c>
      <c r="D18" s="47">
        <f>IF(OR(A18="",B18=""),"",IF(B17="","",(B18-B17-C18)/(B17+0.5*C18)))</f>
        <v/>
      </c>
      <c r="E18" s="20" t="n">
        <v>423.39</v>
      </c>
      <c r="F18" s="47">
        <f>IF(OR(E18="",E17=""),"",E18/E17-1)</f>
        <v/>
      </c>
      <c r="G18" s="48">
        <f>IF(A18="","",Settings!$B$8/12)</f>
        <v/>
      </c>
      <c r="H18" s="47">
        <f>IF(D18="","",D18-G18)</f>
        <v/>
      </c>
      <c r="I18" s="47">
        <f>IF(F18="","",F18-G18)</f>
        <v/>
      </c>
      <c r="J18" s="47">
        <f>IF(OR(D18="",F18=""),"",D18-F18)</f>
        <v/>
      </c>
      <c r="K18" s="49">
        <f>IF(OR(A18="",B18=""),"",IF(D18="",K17,K17*(1+D18)))</f>
        <v/>
      </c>
      <c r="L18" s="49">
        <f>IF(E18="","",IF(F18="",L17,L17*(1+F18)))</f>
        <v/>
      </c>
      <c r="M18" s="23">
        <f>IF(K18="","",K18/MAX(K$6:K18)-1)</f>
        <v/>
      </c>
      <c r="N18" s="23">
        <f>IF(L18="","",L18/MAX(L$6:L18)-1)</f>
        <v/>
      </c>
      <c r="O18" s="50">
        <f>IF(H18="","",MIN(H18,0)^2)</f>
        <v/>
      </c>
      <c r="P18" s="51">
        <f>IF(A18="","",YEAR(A18))</f>
        <v/>
      </c>
      <c r="Q18" s="52">
        <f>IF(D18="","",LN(1+D18))</f>
        <v/>
      </c>
      <c r="R18" s="17" t="inlineStr">
        <is>
          <t>Example — replace</t>
        </is>
      </c>
    </row>
    <row r="19">
      <c r="A19" s="40" t="n">
        <v>46081</v>
      </c>
      <c r="B19" s="46" t="n">
        <v>12505.85</v>
      </c>
      <c r="C19" s="22">
        <f>IF(A19="","",SUMIFS(Transactions!$J$6:$J$505,Transactions!$B$6:$B$505,"Deposit",Transactions!$A$6:$A$505,"&gt;"&amp;A18,Transactions!$A$6:$A$505,"&lt;="&amp;A19)-SUMIFS(Transactions!$J$6:$J$505,Transactions!$B$6:$B$505,"Withdrawal",Transactions!$A$6:$A$505,"&gt;"&amp;A18,Transactions!$A$6:$A$505,"&lt;="&amp;A19))</f>
        <v/>
      </c>
      <c r="D19" s="47">
        <f>IF(OR(A19="",B19=""),"",IF(B18="","",(B19-B18-C19)/(B18+0.5*C19)))</f>
        <v/>
      </c>
      <c r="E19" s="20" t="n">
        <v>431.35</v>
      </c>
      <c r="F19" s="47">
        <f>IF(OR(E19="",E18=""),"",E19/E18-1)</f>
        <v/>
      </c>
      <c r="G19" s="48">
        <f>IF(A19="","",Settings!$B$8/12)</f>
        <v/>
      </c>
      <c r="H19" s="47">
        <f>IF(D19="","",D19-G19)</f>
        <v/>
      </c>
      <c r="I19" s="47">
        <f>IF(F19="","",F19-G19)</f>
        <v/>
      </c>
      <c r="J19" s="47">
        <f>IF(OR(D19="",F19=""),"",D19-F19)</f>
        <v/>
      </c>
      <c r="K19" s="49">
        <f>IF(OR(A19="",B19=""),"",IF(D19="",K18,K18*(1+D19)))</f>
        <v/>
      </c>
      <c r="L19" s="49">
        <f>IF(E19="","",IF(F19="",L18,L18*(1+F19)))</f>
        <v/>
      </c>
      <c r="M19" s="23">
        <f>IF(K19="","",K19/MAX(K$6:K19)-1)</f>
        <v/>
      </c>
      <c r="N19" s="23">
        <f>IF(L19="","",L19/MAX(L$6:L19)-1)</f>
        <v/>
      </c>
      <c r="O19" s="50">
        <f>IF(H19="","",MIN(H19,0)^2)</f>
        <v/>
      </c>
      <c r="P19" s="51">
        <f>IF(A19="","",YEAR(A19))</f>
        <v/>
      </c>
      <c r="Q19" s="52">
        <f>IF(D19="","",LN(1+D19))</f>
        <v/>
      </c>
      <c r="R19" s="17" t="inlineStr">
        <is>
          <t>Example — replace</t>
        </is>
      </c>
    </row>
    <row r="20">
      <c r="A20" s="40" t="n">
        <v>46112</v>
      </c>
      <c r="B20" s="46" t="n">
        <v>12656.08</v>
      </c>
      <c r="C20" s="22">
        <f>IF(A20="","",SUMIFS(Transactions!$J$6:$J$505,Transactions!$B$6:$B$505,"Deposit",Transactions!$A$6:$A$505,"&gt;"&amp;A19,Transactions!$A$6:$A$505,"&lt;="&amp;A20)-SUMIFS(Transactions!$J$6:$J$505,Transactions!$B$6:$B$505,"Withdrawal",Transactions!$A$6:$A$505,"&gt;"&amp;A19,Transactions!$A$6:$A$505,"&lt;="&amp;A20))</f>
        <v/>
      </c>
      <c r="D20" s="47">
        <f>IF(OR(A20="",B20=""),"",IF(B19="","",(B20-B19-C20)/(B19+0.5*C20)))</f>
        <v/>
      </c>
      <c r="E20" s="20" t="n">
        <v>424.82</v>
      </c>
      <c r="F20" s="47">
        <f>IF(OR(E20="",E19=""),"",E20/E19-1)</f>
        <v/>
      </c>
      <c r="G20" s="48">
        <f>IF(A20="","",Settings!$B$8/12)</f>
        <v/>
      </c>
      <c r="H20" s="47">
        <f>IF(D20="","",D20-G20)</f>
        <v/>
      </c>
      <c r="I20" s="47">
        <f>IF(F20="","",F20-G20)</f>
        <v/>
      </c>
      <c r="J20" s="47">
        <f>IF(OR(D20="",F20=""),"",D20-F20)</f>
        <v/>
      </c>
      <c r="K20" s="49">
        <f>IF(OR(A20="",B20=""),"",IF(D20="",K19,K19*(1+D20)))</f>
        <v/>
      </c>
      <c r="L20" s="49">
        <f>IF(E20="","",IF(F20="",L19,L19*(1+F20)))</f>
        <v/>
      </c>
      <c r="M20" s="23">
        <f>IF(K20="","",K20/MAX(K$6:K20)-1)</f>
        <v/>
      </c>
      <c r="N20" s="23">
        <f>IF(L20="","",L20/MAX(L$6:L20)-1)</f>
        <v/>
      </c>
      <c r="O20" s="50">
        <f>IF(H20="","",MIN(H20,0)^2)</f>
        <v/>
      </c>
      <c r="P20" s="51">
        <f>IF(A20="","",YEAR(A20))</f>
        <v/>
      </c>
      <c r="Q20" s="52">
        <f>IF(D20="","",LN(1+D20))</f>
        <v/>
      </c>
      <c r="R20" s="17" t="inlineStr">
        <is>
          <t>Example — replace</t>
        </is>
      </c>
    </row>
    <row r="21">
      <c r="A21" s="40" t="n">
        <v>46142</v>
      </c>
      <c r="B21" s="46" t="n">
        <v>13106.64</v>
      </c>
      <c r="C21" s="22">
        <f>IF(A21="","",SUMIFS(Transactions!$J$6:$J$505,Transactions!$B$6:$B$505,"Deposit",Transactions!$A$6:$A$505,"&gt;"&amp;A20,Transactions!$A$6:$A$505,"&lt;="&amp;A21)-SUMIFS(Transactions!$J$6:$J$505,Transactions!$B$6:$B$505,"Withdrawal",Transactions!$A$6:$A$505,"&gt;"&amp;A20,Transactions!$A$6:$A$505,"&lt;="&amp;A21))</f>
        <v/>
      </c>
      <c r="D21" s="47">
        <f>IF(OR(A21="",B21=""),"",IF(B20="","",(B21-B20-C21)/(B20+0.5*C21)))</f>
        <v/>
      </c>
      <c r="E21" s="20" t="n">
        <v>436.5</v>
      </c>
      <c r="F21" s="47">
        <f>IF(OR(E21="",E20=""),"",E21/E20-1)</f>
        <v/>
      </c>
      <c r="G21" s="48">
        <f>IF(A21="","",Settings!$B$8/12)</f>
        <v/>
      </c>
      <c r="H21" s="47">
        <f>IF(D21="","",D21-G21)</f>
        <v/>
      </c>
      <c r="I21" s="47">
        <f>IF(F21="","",F21-G21)</f>
        <v/>
      </c>
      <c r="J21" s="47">
        <f>IF(OR(D21="",F21=""),"",D21-F21)</f>
        <v/>
      </c>
      <c r="K21" s="49">
        <f>IF(OR(A21="",B21=""),"",IF(D21="",K20,K20*(1+D21)))</f>
        <v/>
      </c>
      <c r="L21" s="49">
        <f>IF(E21="","",IF(F21="",L20,L20*(1+F21)))</f>
        <v/>
      </c>
      <c r="M21" s="23">
        <f>IF(K21="","",K21/MAX(K$6:K21)-1)</f>
        <v/>
      </c>
      <c r="N21" s="23">
        <f>IF(L21="","",L21/MAX(L$6:L21)-1)</f>
        <v/>
      </c>
      <c r="O21" s="50">
        <f>IF(H21="","",MIN(H21,0)^2)</f>
        <v/>
      </c>
      <c r="P21" s="51">
        <f>IF(A21="","",YEAR(A21))</f>
        <v/>
      </c>
      <c r="Q21" s="52">
        <f>IF(D21="","",LN(1+D21))</f>
        <v/>
      </c>
      <c r="R21" s="17" t="inlineStr">
        <is>
          <t>Example — replace</t>
        </is>
      </c>
    </row>
    <row r="22">
      <c r="A22" s="40" t="n">
        <v>46173</v>
      </c>
      <c r="B22" s="46" t="n">
        <v>12890.75</v>
      </c>
      <c r="C22" s="22">
        <f>IF(A22="","",SUMIFS(Transactions!$J$6:$J$505,Transactions!$B$6:$B$505,"Deposit",Transactions!$A$6:$A$505,"&gt;"&amp;A21,Transactions!$A$6:$A$505,"&lt;="&amp;A22)-SUMIFS(Transactions!$J$6:$J$505,Transactions!$B$6:$B$505,"Withdrawal",Transactions!$A$6:$A$505,"&gt;"&amp;A21,Transactions!$A$6:$A$505,"&lt;="&amp;A22))</f>
        <v/>
      </c>
      <c r="D22" s="47">
        <f>IF(OR(A22="",B22=""),"",IF(B21="","",(B22-B21-C22)/(B21+0.5*C22)))</f>
        <v/>
      </c>
      <c r="E22" s="20" t="n">
        <v>430.51</v>
      </c>
      <c r="F22" s="47">
        <f>IF(OR(E22="",E21=""),"",E22/E21-1)</f>
        <v/>
      </c>
      <c r="G22" s="48">
        <f>IF(A22="","",Settings!$B$8/12)</f>
        <v/>
      </c>
      <c r="H22" s="47">
        <f>IF(D22="","",D22-G22)</f>
        <v/>
      </c>
      <c r="I22" s="47">
        <f>IF(F22="","",F22-G22)</f>
        <v/>
      </c>
      <c r="J22" s="47">
        <f>IF(OR(D22="",F22=""),"",D22-F22)</f>
        <v/>
      </c>
      <c r="K22" s="49">
        <f>IF(OR(A22="",B22=""),"",IF(D22="",K21,K21*(1+D22)))</f>
        <v/>
      </c>
      <c r="L22" s="49">
        <f>IF(E22="","",IF(F22="",L21,L21*(1+F22)))</f>
        <v/>
      </c>
      <c r="M22" s="23">
        <f>IF(K22="","",K22/MAX(K$6:K22)-1)</f>
        <v/>
      </c>
      <c r="N22" s="23">
        <f>IF(L22="","",L22/MAX(L$6:L22)-1)</f>
        <v/>
      </c>
      <c r="O22" s="50">
        <f>IF(H22="","",MIN(H22,0)^2)</f>
        <v/>
      </c>
      <c r="P22" s="51">
        <f>IF(A22="","",YEAR(A22))</f>
        <v/>
      </c>
      <c r="Q22" s="52">
        <f>IF(D22="","",LN(1+D22))</f>
        <v/>
      </c>
      <c r="R22" s="17" t="inlineStr">
        <is>
          <t>Example — replace</t>
        </is>
      </c>
    </row>
    <row r="23">
      <c r="A23" s="40" t="n">
        <v>46203</v>
      </c>
      <c r="B23" s="46" t="n">
        <v>12863.6</v>
      </c>
      <c r="C23" s="22">
        <f>IF(A23="","",SUMIFS(Transactions!$J$6:$J$505,Transactions!$B$6:$B$505,"Deposit",Transactions!$A$6:$A$505,"&gt;"&amp;A22,Transactions!$A$6:$A$505,"&lt;="&amp;A23)-SUMIFS(Transactions!$J$6:$J$505,Transactions!$B$6:$B$505,"Withdrawal",Transactions!$A$6:$A$505,"&gt;"&amp;A22,Transactions!$A$6:$A$505,"&lt;="&amp;A23))</f>
        <v/>
      </c>
      <c r="D23" s="47">
        <f>IF(OR(A23="",B23=""),"",IF(B22="","",(B23-B22-C23)/(B22+0.5*C23)))</f>
        <v/>
      </c>
      <c r="E23" s="20" t="n">
        <v>428.77</v>
      </c>
      <c r="F23" s="47">
        <f>IF(OR(E23="",E22=""),"",E23/E22-1)</f>
        <v/>
      </c>
      <c r="G23" s="48">
        <f>IF(A23="","",Settings!$B$8/12)</f>
        <v/>
      </c>
      <c r="H23" s="47">
        <f>IF(D23="","",D23-G23)</f>
        <v/>
      </c>
      <c r="I23" s="47">
        <f>IF(F23="","",F23-G23)</f>
        <v/>
      </c>
      <c r="J23" s="47">
        <f>IF(OR(D23="",F23=""),"",D23-F23)</f>
        <v/>
      </c>
      <c r="K23" s="49">
        <f>IF(OR(A23="",B23=""),"",IF(D23="",K22,K22*(1+D23)))</f>
        <v/>
      </c>
      <c r="L23" s="49">
        <f>IF(E23="","",IF(F23="",L22,L22*(1+F23)))</f>
        <v/>
      </c>
      <c r="M23" s="23">
        <f>IF(K23="","",K23/MAX(K$6:K23)-1)</f>
        <v/>
      </c>
      <c r="N23" s="23">
        <f>IF(L23="","",L23/MAX(L$6:L23)-1)</f>
        <v/>
      </c>
      <c r="O23" s="50">
        <f>IF(H23="","",MIN(H23,0)^2)</f>
        <v/>
      </c>
      <c r="P23" s="51">
        <f>IF(A23="","",YEAR(A23))</f>
        <v/>
      </c>
      <c r="Q23" s="52">
        <f>IF(D23="","",LN(1+D23))</f>
        <v/>
      </c>
      <c r="R23" s="17" t="inlineStr">
        <is>
          <t>Example — replace</t>
        </is>
      </c>
    </row>
    <row r="24">
      <c r="A24" s="40" t="n">
        <v>46234</v>
      </c>
      <c r="B24" s="46" t="n">
        <v>13198.91</v>
      </c>
      <c r="C24" s="22">
        <f>IF(A24="","",SUMIFS(Transactions!$J$6:$J$505,Transactions!$B$6:$B$505,"Deposit",Transactions!$A$6:$A$505,"&gt;"&amp;A23,Transactions!$A$6:$A$505,"&lt;="&amp;A24)-SUMIFS(Transactions!$J$6:$J$505,Transactions!$B$6:$B$505,"Withdrawal",Transactions!$A$6:$A$505,"&gt;"&amp;A23,Transactions!$A$6:$A$505,"&lt;="&amp;A24))</f>
        <v/>
      </c>
      <c r="D24" s="47">
        <f>IF(OR(A24="",B24=""),"",IF(B23="","",(B24-B23-C24)/(B23+0.5*C24)))</f>
        <v/>
      </c>
      <c r="E24" s="20" t="n">
        <v>441.69</v>
      </c>
      <c r="F24" s="47">
        <f>IF(OR(E24="",E23=""),"",E24/E23-1)</f>
        <v/>
      </c>
      <c r="G24" s="48">
        <f>IF(A24="","",Settings!$B$8/12)</f>
        <v/>
      </c>
      <c r="H24" s="47">
        <f>IF(D24="","",D24-G24)</f>
        <v/>
      </c>
      <c r="I24" s="47">
        <f>IF(F24="","",F24-G24)</f>
        <v/>
      </c>
      <c r="J24" s="47">
        <f>IF(OR(D24="",F24=""),"",D24-F24)</f>
        <v/>
      </c>
      <c r="K24" s="49">
        <f>IF(OR(A24="",B24=""),"",IF(D24="",K23,K23*(1+D24)))</f>
        <v/>
      </c>
      <c r="L24" s="49">
        <f>IF(E24="","",IF(F24="",L23,L23*(1+F24)))</f>
        <v/>
      </c>
      <c r="M24" s="23">
        <f>IF(K24="","",K24/MAX(K$6:K24)-1)</f>
        <v/>
      </c>
      <c r="N24" s="23">
        <f>IF(L24="","",L24/MAX(L$6:L24)-1)</f>
        <v/>
      </c>
      <c r="O24" s="50">
        <f>IF(H24="","",MIN(H24,0)^2)</f>
        <v/>
      </c>
      <c r="P24" s="51">
        <f>IF(A24="","",YEAR(A24))</f>
        <v/>
      </c>
      <c r="Q24" s="52">
        <f>IF(D24="","",LN(1+D24))</f>
        <v/>
      </c>
      <c r="R24" s="17" t="inlineStr">
        <is>
          <t>Example — replace</t>
        </is>
      </c>
    </row>
    <row r="25">
      <c r="A25" s="40" t="n">
        <v>46265</v>
      </c>
      <c r="B25" s="46" t="n">
        <v>13003</v>
      </c>
      <c r="C25" s="22">
        <f>IF(A25="","",SUMIFS(Transactions!$J$6:$J$505,Transactions!$B$6:$B$505,"Deposit",Transactions!$A$6:$A$505,"&gt;"&amp;A24,Transactions!$A$6:$A$505,"&lt;="&amp;A25)-SUMIFS(Transactions!$J$6:$J$505,Transactions!$B$6:$B$505,"Withdrawal",Transactions!$A$6:$A$505,"&gt;"&amp;A24,Transactions!$A$6:$A$505,"&lt;="&amp;A25))</f>
        <v/>
      </c>
      <c r="D25" s="47">
        <f>IF(OR(A25="",B25=""),"",IF(B24="","",(B25-B24-C25)/(B24+0.5*C25)))</f>
        <v/>
      </c>
      <c r="E25" s="20" t="n">
        <v>438.3</v>
      </c>
      <c r="F25" s="47">
        <f>IF(OR(E25="",E24=""),"",E25/E24-1)</f>
        <v/>
      </c>
      <c r="G25" s="48">
        <f>IF(A25="","",Settings!$B$8/12)</f>
        <v/>
      </c>
      <c r="H25" s="47">
        <f>IF(D25="","",D25-G25)</f>
        <v/>
      </c>
      <c r="I25" s="47">
        <f>IF(F25="","",F25-G25)</f>
        <v/>
      </c>
      <c r="J25" s="47">
        <f>IF(OR(D25="",F25=""),"",D25-F25)</f>
        <v/>
      </c>
      <c r="K25" s="49">
        <f>IF(OR(A25="",B25=""),"",IF(D25="",K24,K24*(1+D25)))</f>
        <v/>
      </c>
      <c r="L25" s="49">
        <f>IF(E25="","",IF(F25="",L24,L24*(1+F25)))</f>
        <v/>
      </c>
      <c r="M25" s="23">
        <f>IF(K25="","",K25/MAX(K$6:K25)-1)</f>
        <v/>
      </c>
      <c r="N25" s="23">
        <f>IF(L25="","",L25/MAX(L$6:L25)-1)</f>
        <v/>
      </c>
      <c r="O25" s="50">
        <f>IF(H25="","",MIN(H25,0)^2)</f>
        <v/>
      </c>
      <c r="P25" s="51">
        <f>IF(A25="","",YEAR(A25))</f>
        <v/>
      </c>
      <c r="Q25" s="52">
        <f>IF(D25="","",LN(1+D25))</f>
        <v/>
      </c>
      <c r="R25" s="17" t="inlineStr">
        <is>
          <t>Example — replace</t>
        </is>
      </c>
    </row>
    <row r="26">
      <c r="A26" s="40" t="n">
        <v>46295</v>
      </c>
      <c r="B26" s="46" t="n">
        <v>12679.23</v>
      </c>
      <c r="C26" s="22">
        <f>IF(A26="","",SUMIFS(Transactions!$J$6:$J$505,Transactions!$B$6:$B$505,"Deposit",Transactions!$A$6:$A$505,"&gt;"&amp;A25,Transactions!$A$6:$A$505,"&lt;="&amp;A26)-SUMIFS(Transactions!$J$6:$J$505,Transactions!$B$6:$B$505,"Withdrawal",Transactions!$A$6:$A$505,"&gt;"&amp;A25,Transactions!$A$6:$A$505,"&lt;="&amp;A26))</f>
        <v/>
      </c>
      <c r="D26" s="47">
        <f>IF(OR(A26="",B26=""),"",IF(B25="","",(B26-B25-C26)/(B25+0.5*C26)))</f>
        <v/>
      </c>
      <c r="E26" s="20" t="n">
        <v>433.82</v>
      </c>
      <c r="F26" s="47">
        <f>IF(OR(E26="",E25=""),"",E26/E25-1)</f>
        <v/>
      </c>
      <c r="G26" s="48">
        <f>IF(A26="","",Settings!$B$8/12)</f>
        <v/>
      </c>
      <c r="H26" s="47">
        <f>IF(D26="","",D26-G26)</f>
        <v/>
      </c>
      <c r="I26" s="47">
        <f>IF(F26="","",F26-G26)</f>
        <v/>
      </c>
      <c r="J26" s="47">
        <f>IF(OR(D26="",F26=""),"",D26-F26)</f>
        <v/>
      </c>
      <c r="K26" s="49">
        <f>IF(OR(A26="",B26=""),"",IF(D26="",K25,K25*(1+D26)))</f>
        <v/>
      </c>
      <c r="L26" s="49">
        <f>IF(E26="","",IF(F26="",L25,L25*(1+F26)))</f>
        <v/>
      </c>
      <c r="M26" s="23">
        <f>IF(K26="","",K26/MAX(K$6:K26)-1)</f>
        <v/>
      </c>
      <c r="N26" s="23">
        <f>IF(L26="","",L26/MAX(L$6:L26)-1)</f>
        <v/>
      </c>
      <c r="O26" s="50">
        <f>IF(H26="","",MIN(H26,0)^2)</f>
        <v/>
      </c>
      <c r="P26" s="51">
        <f>IF(A26="","",YEAR(A26))</f>
        <v/>
      </c>
      <c r="Q26" s="52">
        <f>IF(D26="","",LN(1+D26))</f>
        <v/>
      </c>
      <c r="R26" s="17" t="inlineStr">
        <is>
          <t>Example — replace</t>
        </is>
      </c>
    </row>
    <row r="27">
      <c r="A27" s="43" t="n"/>
      <c r="B27" s="53" t="n"/>
      <c r="C27" s="32">
        <f>IF(A27="","",SUMIFS(Transactions!$J$6:$J$505,Transactions!$B$6:$B$505,"Deposit",Transactions!$A$6:$A$505,"&gt;"&amp;A26,Transactions!$A$6:$A$505,"&lt;="&amp;A27)-SUMIFS(Transactions!$J$6:$J$505,Transactions!$B$6:$B$505,"Withdrawal",Transactions!$A$6:$A$505,"&gt;"&amp;A26,Transactions!$A$6:$A$505,"&lt;="&amp;A27))</f>
        <v/>
      </c>
      <c r="D27" s="54">
        <f>IF(OR(A27="",B27=""),"",IF(B26="","",(B27-B26-C27)/(B26+0.5*C27)))</f>
        <v/>
      </c>
      <c r="E27" s="30" t="n"/>
      <c r="F27" s="54">
        <f>IF(OR(E27="",E26=""),"",E27/E26-1)</f>
        <v/>
      </c>
      <c r="G27" s="55">
        <f>IF(A27="","",Settings!$B$8/12)</f>
        <v/>
      </c>
      <c r="H27" s="54">
        <f>IF(D27="","",D27-G27)</f>
        <v/>
      </c>
      <c r="I27" s="54">
        <f>IF(F27="","",F27-G27)</f>
        <v/>
      </c>
      <c r="J27" s="54">
        <f>IF(OR(D27="",F27=""),"",D27-F27)</f>
        <v/>
      </c>
      <c r="K27" s="56">
        <f>IF(OR(A27="",B27=""),"",IF(D27="",K26,K26*(1+D27)))</f>
        <v/>
      </c>
      <c r="L27" s="56">
        <f>IF(E27="","",IF(F27="",L26,L26*(1+F27)))</f>
        <v/>
      </c>
      <c r="M27" s="33">
        <f>IF(K27="","",K27/MAX(K$6:K27)-1)</f>
        <v/>
      </c>
      <c r="N27" s="33">
        <f>IF(L27="","",L27/MAX(L$6:L27)-1)</f>
        <v/>
      </c>
      <c r="O27" s="57">
        <f>IF(H27="","",MIN(H27,0)^2)</f>
        <v/>
      </c>
      <c r="P27" s="58">
        <f>IF(A27="","",YEAR(A27))</f>
        <v/>
      </c>
      <c r="Q27" s="59">
        <f>IF(D27="","",LN(1+D27))</f>
        <v/>
      </c>
      <c r="R27" s="27" t="n"/>
    </row>
    <row r="28">
      <c r="A28" s="43" t="n"/>
      <c r="B28" s="53" t="n"/>
      <c r="C28" s="32">
        <f>IF(A28="","",SUMIFS(Transactions!$J$6:$J$505,Transactions!$B$6:$B$505,"Deposit",Transactions!$A$6:$A$505,"&gt;"&amp;A27,Transactions!$A$6:$A$505,"&lt;="&amp;A28)-SUMIFS(Transactions!$J$6:$J$505,Transactions!$B$6:$B$505,"Withdrawal",Transactions!$A$6:$A$505,"&gt;"&amp;A27,Transactions!$A$6:$A$505,"&lt;="&amp;A28))</f>
        <v/>
      </c>
      <c r="D28" s="54">
        <f>IF(OR(A28="",B28=""),"",IF(B27="","",(B28-B27-C28)/(B27+0.5*C28)))</f>
        <v/>
      </c>
      <c r="E28" s="30" t="n"/>
      <c r="F28" s="54">
        <f>IF(OR(E28="",E27=""),"",E28/E27-1)</f>
        <v/>
      </c>
      <c r="G28" s="55">
        <f>IF(A28="","",Settings!$B$8/12)</f>
        <v/>
      </c>
      <c r="H28" s="54">
        <f>IF(D28="","",D28-G28)</f>
        <v/>
      </c>
      <c r="I28" s="54">
        <f>IF(F28="","",F28-G28)</f>
        <v/>
      </c>
      <c r="J28" s="54">
        <f>IF(OR(D28="",F28=""),"",D28-F28)</f>
        <v/>
      </c>
      <c r="K28" s="56">
        <f>IF(OR(A28="",B28=""),"",IF(D28="",K27,K27*(1+D28)))</f>
        <v/>
      </c>
      <c r="L28" s="56">
        <f>IF(E28="","",IF(F28="",L27,L27*(1+F28)))</f>
        <v/>
      </c>
      <c r="M28" s="33">
        <f>IF(K28="","",K28/MAX(K$6:K28)-1)</f>
        <v/>
      </c>
      <c r="N28" s="33">
        <f>IF(L28="","",L28/MAX(L$6:L28)-1)</f>
        <v/>
      </c>
      <c r="O28" s="57">
        <f>IF(H28="","",MIN(H28,0)^2)</f>
        <v/>
      </c>
      <c r="P28" s="58">
        <f>IF(A28="","",YEAR(A28))</f>
        <v/>
      </c>
      <c r="Q28" s="59">
        <f>IF(D28="","",LN(1+D28))</f>
        <v/>
      </c>
      <c r="R28" s="27" t="n"/>
    </row>
    <row r="29">
      <c r="A29" s="43" t="n"/>
      <c r="B29" s="53" t="n"/>
      <c r="C29" s="32">
        <f>IF(A29="","",SUMIFS(Transactions!$J$6:$J$505,Transactions!$B$6:$B$505,"Deposit",Transactions!$A$6:$A$505,"&gt;"&amp;A28,Transactions!$A$6:$A$505,"&lt;="&amp;A29)-SUMIFS(Transactions!$J$6:$J$505,Transactions!$B$6:$B$505,"Withdrawal",Transactions!$A$6:$A$505,"&gt;"&amp;A28,Transactions!$A$6:$A$505,"&lt;="&amp;A29))</f>
        <v/>
      </c>
      <c r="D29" s="54">
        <f>IF(OR(A29="",B29=""),"",IF(B28="","",(B29-B28-C29)/(B28+0.5*C29)))</f>
        <v/>
      </c>
      <c r="E29" s="30" t="n"/>
      <c r="F29" s="54">
        <f>IF(OR(E29="",E28=""),"",E29/E28-1)</f>
        <v/>
      </c>
      <c r="G29" s="55">
        <f>IF(A29="","",Settings!$B$8/12)</f>
        <v/>
      </c>
      <c r="H29" s="54">
        <f>IF(D29="","",D29-G29)</f>
        <v/>
      </c>
      <c r="I29" s="54">
        <f>IF(F29="","",F29-G29)</f>
        <v/>
      </c>
      <c r="J29" s="54">
        <f>IF(OR(D29="",F29=""),"",D29-F29)</f>
        <v/>
      </c>
      <c r="K29" s="56">
        <f>IF(OR(A29="",B29=""),"",IF(D29="",K28,K28*(1+D29)))</f>
        <v/>
      </c>
      <c r="L29" s="56">
        <f>IF(E29="","",IF(F29="",L28,L28*(1+F29)))</f>
        <v/>
      </c>
      <c r="M29" s="33">
        <f>IF(K29="","",K29/MAX(K$6:K29)-1)</f>
        <v/>
      </c>
      <c r="N29" s="33">
        <f>IF(L29="","",L29/MAX(L$6:L29)-1)</f>
        <v/>
      </c>
      <c r="O29" s="57">
        <f>IF(H29="","",MIN(H29,0)^2)</f>
        <v/>
      </c>
      <c r="P29" s="58">
        <f>IF(A29="","",YEAR(A29))</f>
        <v/>
      </c>
      <c r="Q29" s="59">
        <f>IF(D29="","",LN(1+D29))</f>
        <v/>
      </c>
      <c r="R29" s="27" t="n"/>
    </row>
    <row r="30">
      <c r="A30" s="43" t="n"/>
      <c r="B30" s="53" t="n"/>
      <c r="C30" s="32">
        <f>IF(A30="","",SUMIFS(Transactions!$J$6:$J$505,Transactions!$B$6:$B$505,"Deposit",Transactions!$A$6:$A$505,"&gt;"&amp;A29,Transactions!$A$6:$A$505,"&lt;="&amp;A30)-SUMIFS(Transactions!$J$6:$J$505,Transactions!$B$6:$B$505,"Withdrawal",Transactions!$A$6:$A$505,"&gt;"&amp;A29,Transactions!$A$6:$A$505,"&lt;="&amp;A30))</f>
        <v/>
      </c>
      <c r="D30" s="54">
        <f>IF(OR(A30="",B30=""),"",IF(B29="","",(B30-B29-C30)/(B29+0.5*C30)))</f>
        <v/>
      </c>
      <c r="E30" s="30" t="n"/>
      <c r="F30" s="54">
        <f>IF(OR(E30="",E29=""),"",E30/E29-1)</f>
        <v/>
      </c>
      <c r="G30" s="55">
        <f>IF(A30="","",Settings!$B$8/12)</f>
        <v/>
      </c>
      <c r="H30" s="54">
        <f>IF(D30="","",D30-G30)</f>
        <v/>
      </c>
      <c r="I30" s="54">
        <f>IF(F30="","",F30-G30)</f>
        <v/>
      </c>
      <c r="J30" s="54">
        <f>IF(OR(D30="",F30=""),"",D30-F30)</f>
        <v/>
      </c>
      <c r="K30" s="56">
        <f>IF(OR(A30="",B30=""),"",IF(D30="",K29,K29*(1+D30)))</f>
        <v/>
      </c>
      <c r="L30" s="56">
        <f>IF(E30="","",IF(F30="",L29,L29*(1+F30)))</f>
        <v/>
      </c>
      <c r="M30" s="33">
        <f>IF(K30="","",K30/MAX(K$6:K30)-1)</f>
        <v/>
      </c>
      <c r="N30" s="33">
        <f>IF(L30="","",L30/MAX(L$6:L30)-1)</f>
        <v/>
      </c>
      <c r="O30" s="57">
        <f>IF(H30="","",MIN(H30,0)^2)</f>
        <v/>
      </c>
      <c r="P30" s="58">
        <f>IF(A30="","",YEAR(A30))</f>
        <v/>
      </c>
      <c r="Q30" s="59">
        <f>IF(D30="","",LN(1+D30))</f>
        <v/>
      </c>
      <c r="R30" s="27" t="n"/>
    </row>
    <row r="31">
      <c r="A31" s="43" t="n"/>
      <c r="B31" s="53" t="n"/>
      <c r="C31" s="32">
        <f>IF(A31="","",SUMIFS(Transactions!$J$6:$J$505,Transactions!$B$6:$B$505,"Deposit",Transactions!$A$6:$A$505,"&gt;"&amp;A30,Transactions!$A$6:$A$505,"&lt;="&amp;A31)-SUMIFS(Transactions!$J$6:$J$505,Transactions!$B$6:$B$505,"Withdrawal",Transactions!$A$6:$A$505,"&gt;"&amp;A30,Transactions!$A$6:$A$505,"&lt;="&amp;A31))</f>
        <v/>
      </c>
      <c r="D31" s="54">
        <f>IF(OR(A31="",B31=""),"",IF(B30="","",(B31-B30-C31)/(B30+0.5*C31)))</f>
        <v/>
      </c>
      <c r="E31" s="30" t="n"/>
      <c r="F31" s="54">
        <f>IF(OR(E31="",E30=""),"",E31/E30-1)</f>
        <v/>
      </c>
      <c r="G31" s="55">
        <f>IF(A31="","",Settings!$B$8/12)</f>
        <v/>
      </c>
      <c r="H31" s="54">
        <f>IF(D31="","",D31-G31)</f>
        <v/>
      </c>
      <c r="I31" s="54">
        <f>IF(F31="","",F31-G31)</f>
        <v/>
      </c>
      <c r="J31" s="54">
        <f>IF(OR(D31="",F31=""),"",D31-F31)</f>
        <v/>
      </c>
      <c r="K31" s="56">
        <f>IF(OR(A31="",B31=""),"",IF(D31="",K30,K30*(1+D31)))</f>
        <v/>
      </c>
      <c r="L31" s="56">
        <f>IF(E31="","",IF(F31="",L30,L30*(1+F31)))</f>
        <v/>
      </c>
      <c r="M31" s="33">
        <f>IF(K31="","",K31/MAX(K$6:K31)-1)</f>
        <v/>
      </c>
      <c r="N31" s="33">
        <f>IF(L31="","",L31/MAX(L$6:L31)-1)</f>
        <v/>
      </c>
      <c r="O31" s="57">
        <f>IF(H31="","",MIN(H31,0)^2)</f>
        <v/>
      </c>
      <c r="P31" s="58">
        <f>IF(A31="","",YEAR(A31))</f>
        <v/>
      </c>
      <c r="Q31" s="59">
        <f>IF(D31="","",LN(1+D31))</f>
        <v/>
      </c>
      <c r="R31" s="27" t="n"/>
    </row>
    <row r="32">
      <c r="A32" s="43" t="n"/>
      <c r="B32" s="53" t="n"/>
      <c r="C32" s="32">
        <f>IF(A32="","",SUMIFS(Transactions!$J$6:$J$505,Transactions!$B$6:$B$505,"Deposit",Transactions!$A$6:$A$505,"&gt;"&amp;A31,Transactions!$A$6:$A$505,"&lt;="&amp;A32)-SUMIFS(Transactions!$J$6:$J$505,Transactions!$B$6:$B$505,"Withdrawal",Transactions!$A$6:$A$505,"&gt;"&amp;A31,Transactions!$A$6:$A$505,"&lt;="&amp;A32))</f>
        <v/>
      </c>
      <c r="D32" s="54">
        <f>IF(OR(A32="",B32=""),"",IF(B31="","",(B32-B31-C32)/(B31+0.5*C32)))</f>
        <v/>
      </c>
      <c r="E32" s="30" t="n"/>
      <c r="F32" s="54">
        <f>IF(OR(E32="",E31=""),"",E32/E31-1)</f>
        <v/>
      </c>
      <c r="G32" s="55">
        <f>IF(A32="","",Settings!$B$8/12)</f>
        <v/>
      </c>
      <c r="H32" s="54">
        <f>IF(D32="","",D32-G32)</f>
        <v/>
      </c>
      <c r="I32" s="54">
        <f>IF(F32="","",F32-G32)</f>
        <v/>
      </c>
      <c r="J32" s="54">
        <f>IF(OR(D32="",F32=""),"",D32-F32)</f>
        <v/>
      </c>
      <c r="K32" s="56">
        <f>IF(OR(A32="",B32=""),"",IF(D32="",K31,K31*(1+D32)))</f>
        <v/>
      </c>
      <c r="L32" s="56">
        <f>IF(E32="","",IF(F32="",L31,L31*(1+F32)))</f>
        <v/>
      </c>
      <c r="M32" s="33">
        <f>IF(K32="","",K32/MAX(K$6:K32)-1)</f>
        <v/>
      </c>
      <c r="N32" s="33">
        <f>IF(L32="","",L32/MAX(L$6:L32)-1)</f>
        <v/>
      </c>
      <c r="O32" s="57">
        <f>IF(H32="","",MIN(H32,0)^2)</f>
        <v/>
      </c>
      <c r="P32" s="58">
        <f>IF(A32="","",YEAR(A32))</f>
        <v/>
      </c>
      <c r="Q32" s="59">
        <f>IF(D32="","",LN(1+D32))</f>
        <v/>
      </c>
      <c r="R32" s="27" t="n"/>
    </row>
    <row r="33">
      <c r="A33" s="43" t="n"/>
      <c r="B33" s="53" t="n"/>
      <c r="C33" s="32">
        <f>IF(A33="","",SUMIFS(Transactions!$J$6:$J$505,Transactions!$B$6:$B$505,"Deposit",Transactions!$A$6:$A$505,"&gt;"&amp;A32,Transactions!$A$6:$A$505,"&lt;="&amp;A33)-SUMIFS(Transactions!$J$6:$J$505,Transactions!$B$6:$B$505,"Withdrawal",Transactions!$A$6:$A$505,"&gt;"&amp;A32,Transactions!$A$6:$A$505,"&lt;="&amp;A33))</f>
        <v/>
      </c>
      <c r="D33" s="54">
        <f>IF(OR(A33="",B33=""),"",IF(B32="","",(B33-B32-C33)/(B32+0.5*C33)))</f>
        <v/>
      </c>
      <c r="E33" s="30" t="n"/>
      <c r="F33" s="54">
        <f>IF(OR(E33="",E32=""),"",E33/E32-1)</f>
        <v/>
      </c>
      <c r="G33" s="55">
        <f>IF(A33="","",Settings!$B$8/12)</f>
        <v/>
      </c>
      <c r="H33" s="54">
        <f>IF(D33="","",D33-G33)</f>
        <v/>
      </c>
      <c r="I33" s="54">
        <f>IF(F33="","",F33-G33)</f>
        <v/>
      </c>
      <c r="J33" s="54">
        <f>IF(OR(D33="",F33=""),"",D33-F33)</f>
        <v/>
      </c>
      <c r="K33" s="56">
        <f>IF(OR(A33="",B33=""),"",IF(D33="",K32,K32*(1+D33)))</f>
        <v/>
      </c>
      <c r="L33" s="56">
        <f>IF(E33="","",IF(F33="",L32,L32*(1+F33)))</f>
        <v/>
      </c>
      <c r="M33" s="33">
        <f>IF(K33="","",K33/MAX(K$6:K33)-1)</f>
        <v/>
      </c>
      <c r="N33" s="33">
        <f>IF(L33="","",L33/MAX(L$6:L33)-1)</f>
        <v/>
      </c>
      <c r="O33" s="57">
        <f>IF(H33="","",MIN(H33,0)^2)</f>
        <v/>
      </c>
      <c r="P33" s="58">
        <f>IF(A33="","",YEAR(A33))</f>
        <v/>
      </c>
      <c r="Q33" s="59">
        <f>IF(D33="","",LN(1+D33))</f>
        <v/>
      </c>
      <c r="R33" s="27" t="n"/>
    </row>
    <row r="34">
      <c r="A34" s="43" t="n"/>
      <c r="B34" s="53" t="n"/>
      <c r="C34" s="32">
        <f>IF(A34="","",SUMIFS(Transactions!$J$6:$J$505,Transactions!$B$6:$B$505,"Deposit",Transactions!$A$6:$A$505,"&gt;"&amp;A33,Transactions!$A$6:$A$505,"&lt;="&amp;A34)-SUMIFS(Transactions!$J$6:$J$505,Transactions!$B$6:$B$505,"Withdrawal",Transactions!$A$6:$A$505,"&gt;"&amp;A33,Transactions!$A$6:$A$505,"&lt;="&amp;A34))</f>
        <v/>
      </c>
      <c r="D34" s="54">
        <f>IF(OR(A34="",B34=""),"",IF(B33="","",(B34-B33-C34)/(B33+0.5*C34)))</f>
        <v/>
      </c>
      <c r="E34" s="30" t="n"/>
      <c r="F34" s="54">
        <f>IF(OR(E34="",E33=""),"",E34/E33-1)</f>
        <v/>
      </c>
      <c r="G34" s="55">
        <f>IF(A34="","",Settings!$B$8/12)</f>
        <v/>
      </c>
      <c r="H34" s="54">
        <f>IF(D34="","",D34-G34)</f>
        <v/>
      </c>
      <c r="I34" s="54">
        <f>IF(F34="","",F34-G34)</f>
        <v/>
      </c>
      <c r="J34" s="54">
        <f>IF(OR(D34="",F34=""),"",D34-F34)</f>
        <v/>
      </c>
      <c r="K34" s="56">
        <f>IF(OR(A34="",B34=""),"",IF(D34="",K33,K33*(1+D34)))</f>
        <v/>
      </c>
      <c r="L34" s="56">
        <f>IF(E34="","",IF(F34="",L33,L33*(1+F34)))</f>
        <v/>
      </c>
      <c r="M34" s="33">
        <f>IF(K34="","",K34/MAX(K$6:K34)-1)</f>
        <v/>
      </c>
      <c r="N34" s="33">
        <f>IF(L34="","",L34/MAX(L$6:L34)-1)</f>
        <v/>
      </c>
      <c r="O34" s="57">
        <f>IF(H34="","",MIN(H34,0)^2)</f>
        <v/>
      </c>
      <c r="P34" s="58">
        <f>IF(A34="","",YEAR(A34))</f>
        <v/>
      </c>
      <c r="Q34" s="59">
        <f>IF(D34="","",LN(1+D34))</f>
        <v/>
      </c>
      <c r="R34" s="27" t="n"/>
    </row>
    <row r="35">
      <c r="A35" s="43" t="n"/>
      <c r="B35" s="53" t="n"/>
      <c r="C35" s="32">
        <f>IF(A35="","",SUMIFS(Transactions!$J$6:$J$505,Transactions!$B$6:$B$505,"Deposit",Transactions!$A$6:$A$505,"&gt;"&amp;A34,Transactions!$A$6:$A$505,"&lt;="&amp;A35)-SUMIFS(Transactions!$J$6:$J$505,Transactions!$B$6:$B$505,"Withdrawal",Transactions!$A$6:$A$505,"&gt;"&amp;A34,Transactions!$A$6:$A$505,"&lt;="&amp;A35))</f>
        <v/>
      </c>
      <c r="D35" s="54">
        <f>IF(OR(A35="",B35=""),"",IF(B34="","",(B35-B34-C35)/(B34+0.5*C35)))</f>
        <v/>
      </c>
      <c r="E35" s="30" t="n"/>
      <c r="F35" s="54">
        <f>IF(OR(E35="",E34=""),"",E35/E34-1)</f>
        <v/>
      </c>
      <c r="G35" s="55">
        <f>IF(A35="","",Settings!$B$8/12)</f>
        <v/>
      </c>
      <c r="H35" s="54">
        <f>IF(D35="","",D35-G35)</f>
        <v/>
      </c>
      <c r="I35" s="54">
        <f>IF(F35="","",F35-G35)</f>
        <v/>
      </c>
      <c r="J35" s="54">
        <f>IF(OR(D35="",F35=""),"",D35-F35)</f>
        <v/>
      </c>
      <c r="K35" s="56">
        <f>IF(OR(A35="",B35=""),"",IF(D35="",K34,K34*(1+D35)))</f>
        <v/>
      </c>
      <c r="L35" s="56">
        <f>IF(E35="","",IF(F35="",L34,L34*(1+F35)))</f>
        <v/>
      </c>
      <c r="M35" s="33">
        <f>IF(K35="","",K35/MAX(K$6:K35)-1)</f>
        <v/>
      </c>
      <c r="N35" s="33">
        <f>IF(L35="","",L35/MAX(L$6:L35)-1)</f>
        <v/>
      </c>
      <c r="O35" s="57">
        <f>IF(H35="","",MIN(H35,0)^2)</f>
        <v/>
      </c>
      <c r="P35" s="58">
        <f>IF(A35="","",YEAR(A35))</f>
        <v/>
      </c>
      <c r="Q35" s="59">
        <f>IF(D35="","",LN(1+D35))</f>
        <v/>
      </c>
      <c r="R35" s="27" t="n"/>
    </row>
    <row r="36">
      <c r="A36" s="43" t="n"/>
      <c r="B36" s="53" t="n"/>
      <c r="C36" s="32">
        <f>IF(A36="","",SUMIFS(Transactions!$J$6:$J$505,Transactions!$B$6:$B$505,"Deposit",Transactions!$A$6:$A$505,"&gt;"&amp;A35,Transactions!$A$6:$A$505,"&lt;="&amp;A36)-SUMIFS(Transactions!$J$6:$J$505,Transactions!$B$6:$B$505,"Withdrawal",Transactions!$A$6:$A$505,"&gt;"&amp;A35,Transactions!$A$6:$A$505,"&lt;="&amp;A36))</f>
        <v/>
      </c>
      <c r="D36" s="54">
        <f>IF(OR(A36="",B36=""),"",IF(B35="","",(B36-B35-C36)/(B35+0.5*C36)))</f>
        <v/>
      </c>
      <c r="E36" s="30" t="n"/>
      <c r="F36" s="54">
        <f>IF(OR(E36="",E35=""),"",E36/E35-1)</f>
        <v/>
      </c>
      <c r="G36" s="55">
        <f>IF(A36="","",Settings!$B$8/12)</f>
        <v/>
      </c>
      <c r="H36" s="54">
        <f>IF(D36="","",D36-G36)</f>
        <v/>
      </c>
      <c r="I36" s="54">
        <f>IF(F36="","",F36-G36)</f>
        <v/>
      </c>
      <c r="J36" s="54">
        <f>IF(OR(D36="",F36=""),"",D36-F36)</f>
        <v/>
      </c>
      <c r="K36" s="56">
        <f>IF(OR(A36="",B36=""),"",IF(D36="",K35,K35*(1+D36)))</f>
        <v/>
      </c>
      <c r="L36" s="56">
        <f>IF(E36="","",IF(F36="",L35,L35*(1+F36)))</f>
        <v/>
      </c>
      <c r="M36" s="33">
        <f>IF(K36="","",K36/MAX(K$6:K36)-1)</f>
        <v/>
      </c>
      <c r="N36" s="33">
        <f>IF(L36="","",L36/MAX(L$6:L36)-1)</f>
        <v/>
      </c>
      <c r="O36" s="57">
        <f>IF(H36="","",MIN(H36,0)^2)</f>
        <v/>
      </c>
      <c r="P36" s="58">
        <f>IF(A36="","",YEAR(A36))</f>
        <v/>
      </c>
      <c r="Q36" s="59">
        <f>IF(D36="","",LN(1+D36))</f>
        <v/>
      </c>
      <c r="R36" s="27" t="n"/>
    </row>
    <row r="37">
      <c r="A37" s="43" t="n"/>
      <c r="B37" s="53" t="n"/>
      <c r="C37" s="32">
        <f>IF(A37="","",SUMIFS(Transactions!$J$6:$J$505,Transactions!$B$6:$B$505,"Deposit",Transactions!$A$6:$A$505,"&gt;"&amp;A36,Transactions!$A$6:$A$505,"&lt;="&amp;A37)-SUMIFS(Transactions!$J$6:$J$505,Transactions!$B$6:$B$505,"Withdrawal",Transactions!$A$6:$A$505,"&gt;"&amp;A36,Transactions!$A$6:$A$505,"&lt;="&amp;A37))</f>
        <v/>
      </c>
      <c r="D37" s="54">
        <f>IF(OR(A37="",B37=""),"",IF(B36="","",(B37-B36-C37)/(B36+0.5*C37)))</f>
        <v/>
      </c>
      <c r="E37" s="30" t="n"/>
      <c r="F37" s="54">
        <f>IF(OR(E37="",E36=""),"",E37/E36-1)</f>
        <v/>
      </c>
      <c r="G37" s="55">
        <f>IF(A37="","",Settings!$B$8/12)</f>
        <v/>
      </c>
      <c r="H37" s="54">
        <f>IF(D37="","",D37-G37)</f>
        <v/>
      </c>
      <c r="I37" s="54">
        <f>IF(F37="","",F37-G37)</f>
        <v/>
      </c>
      <c r="J37" s="54">
        <f>IF(OR(D37="",F37=""),"",D37-F37)</f>
        <v/>
      </c>
      <c r="K37" s="56">
        <f>IF(OR(A37="",B37=""),"",IF(D37="",K36,K36*(1+D37)))</f>
        <v/>
      </c>
      <c r="L37" s="56">
        <f>IF(E37="","",IF(F37="",L36,L36*(1+F37)))</f>
        <v/>
      </c>
      <c r="M37" s="33">
        <f>IF(K37="","",K37/MAX(K$6:K37)-1)</f>
        <v/>
      </c>
      <c r="N37" s="33">
        <f>IF(L37="","",L37/MAX(L$6:L37)-1)</f>
        <v/>
      </c>
      <c r="O37" s="57">
        <f>IF(H37="","",MIN(H37,0)^2)</f>
        <v/>
      </c>
      <c r="P37" s="58">
        <f>IF(A37="","",YEAR(A37))</f>
        <v/>
      </c>
      <c r="Q37" s="59">
        <f>IF(D37="","",LN(1+D37))</f>
        <v/>
      </c>
      <c r="R37" s="27" t="n"/>
    </row>
    <row r="38">
      <c r="A38" s="43" t="n"/>
      <c r="B38" s="53" t="n"/>
      <c r="C38" s="32">
        <f>IF(A38="","",SUMIFS(Transactions!$J$6:$J$505,Transactions!$B$6:$B$505,"Deposit",Transactions!$A$6:$A$505,"&gt;"&amp;A37,Transactions!$A$6:$A$505,"&lt;="&amp;A38)-SUMIFS(Transactions!$J$6:$J$505,Transactions!$B$6:$B$505,"Withdrawal",Transactions!$A$6:$A$505,"&gt;"&amp;A37,Transactions!$A$6:$A$505,"&lt;="&amp;A38))</f>
        <v/>
      </c>
      <c r="D38" s="54">
        <f>IF(OR(A38="",B38=""),"",IF(B37="","",(B38-B37-C38)/(B37+0.5*C38)))</f>
        <v/>
      </c>
      <c r="E38" s="30" t="n"/>
      <c r="F38" s="54">
        <f>IF(OR(E38="",E37=""),"",E38/E37-1)</f>
        <v/>
      </c>
      <c r="G38" s="55">
        <f>IF(A38="","",Settings!$B$8/12)</f>
        <v/>
      </c>
      <c r="H38" s="54">
        <f>IF(D38="","",D38-G38)</f>
        <v/>
      </c>
      <c r="I38" s="54">
        <f>IF(F38="","",F38-G38)</f>
        <v/>
      </c>
      <c r="J38" s="54">
        <f>IF(OR(D38="",F38=""),"",D38-F38)</f>
        <v/>
      </c>
      <c r="K38" s="56">
        <f>IF(OR(A38="",B38=""),"",IF(D38="",K37,K37*(1+D38)))</f>
        <v/>
      </c>
      <c r="L38" s="56">
        <f>IF(E38="","",IF(F38="",L37,L37*(1+F38)))</f>
        <v/>
      </c>
      <c r="M38" s="33">
        <f>IF(K38="","",K38/MAX(K$6:K38)-1)</f>
        <v/>
      </c>
      <c r="N38" s="33">
        <f>IF(L38="","",L38/MAX(L$6:L38)-1)</f>
        <v/>
      </c>
      <c r="O38" s="57">
        <f>IF(H38="","",MIN(H38,0)^2)</f>
        <v/>
      </c>
      <c r="P38" s="58">
        <f>IF(A38="","",YEAR(A38))</f>
        <v/>
      </c>
      <c r="Q38" s="59">
        <f>IF(D38="","",LN(1+D38))</f>
        <v/>
      </c>
      <c r="R38" s="27" t="n"/>
    </row>
    <row r="39">
      <c r="A39" s="43" t="n"/>
      <c r="B39" s="53" t="n"/>
      <c r="C39" s="32">
        <f>IF(A39="","",SUMIFS(Transactions!$J$6:$J$505,Transactions!$B$6:$B$505,"Deposit",Transactions!$A$6:$A$505,"&gt;"&amp;A38,Transactions!$A$6:$A$505,"&lt;="&amp;A39)-SUMIFS(Transactions!$J$6:$J$505,Transactions!$B$6:$B$505,"Withdrawal",Transactions!$A$6:$A$505,"&gt;"&amp;A38,Transactions!$A$6:$A$505,"&lt;="&amp;A39))</f>
        <v/>
      </c>
      <c r="D39" s="54">
        <f>IF(OR(A39="",B39=""),"",IF(B38="","",(B39-B38-C39)/(B38+0.5*C39)))</f>
        <v/>
      </c>
      <c r="E39" s="30" t="n"/>
      <c r="F39" s="54">
        <f>IF(OR(E39="",E38=""),"",E39/E38-1)</f>
        <v/>
      </c>
      <c r="G39" s="55">
        <f>IF(A39="","",Settings!$B$8/12)</f>
        <v/>
      </c>
      <c r="H39" s="54">
        <f>IF(D39="","",D39-G39)</f>
        <v/>
      </c>
      <c r="I39" s="54">
        <f>IF(F39="","",F39-G39)</f>
        <v/>
      </c>
      <c r="J39" s="54">
        <f>IF(OR(D39="",F39=""),"",D39-F39)</f>
        <v/>
      </c>
      <c r="K39" s="56">
        <f>IF(OR(A39="",B39=""),"",IF(D39="",K38,K38*(1+D39)))</f>
        <v/>
      </c>
      <c r="L39" s="56">
        <f>IF(E39="","",IF(F39="",L38,L38*(1+F39)))</f>
        <v/>
      </c>
      <c r="M39" s="33">
        <f>IF(K39="","",K39/MAX(K$6:K39)-1)</f>
        <v/>
      </c>
      <c r="N39" s="33">
        <f>IF(L39="","",L39/MAX(L$6:L39)-1)</f>
        <v/>
      </c>
      <c r="O39" s="57">
        <f>IF(H39="","",MIN(H39,0)^2)</f>
        <v/>
      </c>
      <c r="P39" s="58">
        <f>IF(A39="","",YEAR(A39))</f>
        <v/>
      </c>
      <c r="Q39" s="59">
        <f>IF(D39="","",LN(1+D39))</f>
        <v/>
      </c>
      <c r="R39" s="27" t="n"/>
    </row>
    <row r="40">
      <c r="A40" s="43" t="n"/>
      <c r="B40" s="53" t="n"/>
      <c r="C40" s="32">
        <f>IF(A40="","",SUMIFS(Transactions!$J$6:$J$505,Transactions!$B$6:$B$505,"Deposit",Transactions!$A$6:$A$505,"&gt;"&amp;A39,Transactions!$A$6:$A$505,"&lt;="&amp;A40)-SUMIFS(Transactions!$J$6:$J$505,Transactions!$B$6:$B$505,"Withdrawal",Transactions!$A$6:$A$505,"&gt;"&amp;A39,Transactions!$A$6:$A$505,"&lt;="&amp;A40))</f>
        <v/>
      </c>
      <c r="D40" s="54">
        <f>IF(OR(A40="",B40=""),"",IF(B39="","",(B40-B39-C40)/(B39+0.5*C40)))</f>
        <v/>
      </c>
      <c r="E40" s="30" t="n"/>
      <c r="F40" s="54">
        <f>IF(OR(E40="",E39=""),"",E40/E39-1)</f>
        <v/>
      </c>
      <c r="G40" s="55">
        <f>IF(A40="","",Settings!$B$8/12)</f>
        <v/>
      </c>
      <c r="H40" s="54">
        <f>IF(D40="","",D40-G40)</f>
        <v/>
      </c>
      <c r="I40" s="54">
        <f>IF(F40="","",F40-G40)</f>
        <v/>
      </c>
      <c r="J40" s="54">
        <f>IF(OR(D40="",F40=""),"",D40-F40)</f>
        <v/>
      </c>
      <c r="K40" s="56">
        <f>IF(OR(A40="",B40=""),"",IF(D40="",K39,K39*(1+D40)))</f>
        <v/>
      </c>
      <c r="L40" s="56">
        <f>IF(E40="","",IF(F40="",L39,L39*(1+F40)))</f>
        <v/>
      </c>
      <c r="M40" s="33">
        <f>IF(K40="","",K40/MAX(K$6:K40)-1)</f>
        <v/>
      </c>
      <c r="N40" s="33">
        <f>IF(L40="","",L40/MAX(L$6:L40)-1)</f>
        <v/>
      </c>
      <c r="O40" s="57">
        <f>IF(H40="","",MIN(H40,0)^2)</f>
        <v/>
      </c>
      <c r="P40" s="58">
        <f>IF(A40="","",YEAR(A40))</f>
        <v/>
      </c>
      <c r="Q40" s="59">
        <f>IF(D40="","",LN(1+D40))</f>
        <v/>
      </c>
      <c r="R40" s="27" t="n"/>
    </row>
    <row r="41">
      <c r="A41" s="43" t="n"/>
      <c r="B41" s="53" t="n"/>
      <c r="C41" s="32">
        <f>IF(A41="","",SUMIFS(Transactions!$J$6:$J$505,Transactions!$B$6:$B$505,"Deposit",Transactions!$A$6:$A$505,"&gt;"&amp;A40,Transactions!$A$6:$A$505,"&lt;="&amp;A41)-SUMIFS(Transactions!$J$6:$J$505,Transactions!$B$6:$B$505,"Withdrawal",Transactions!$A$6:$A$505,"&gt;"&amp;A40,Transactions!$A$6:$A$505,"&lt;="&amp;A41))</f>
        <v/>
      </c>
      <c r="D41" s="54">
        <f>IF(OR(A41="",B41=""),"",IF(B40="","",(B41-B40-C41)/(B40+0.5*C41)))</f>
        <v/>
      </c>
      <c r="E41" s="30" t="n"/>
      <c r="F41" s="54">
        <f>IF(OR(E41="",E40=""),"",E41/E40-1)</f>
        <v/>
      </c>
      <c r="G41" s="55">
        <f>IF(A41="","",Settings!$B$8/12)</f>
        <v/>
      </c>
      <c r="H41" s="54">
        <f>IF(D41="","",D41-G41)</f>
        <v/>
      </c>
      <c r="I41" s="54">
        <f>IF(F41="","",F41-G41)</f>
        <v/>
      </c>
      <c r="J41" s="54">
        <f>IF(OR(D41="",F41=""),"",D41-F41)</f>
        <v/>
      </c>
      <c r="K41" s="56">
        <f>IF(OR(A41="",B41=""),"",IF(D41="",K40,K40*(1+D41)))</f>
        <v/>
      </c>
      <c r="L41" s="56">
        <f>IF(E41="","",IF(F41="",L40,L40*(1+F41)))</f>
        <v/>
      </c>
      <c r="M41" s="33">
        <f>IF(K41="","",K41/MAX(K$6:K41)-1)</f>
        <v/>
      </c>
      <c r="N41" s="33">
        <f>IF(L41="","",L41/MAX(L$6:L41)-1)</f>
        <v/>
      </c>
      <c r="O41" s="57">
        <f>IF(H41="","",MIN(H41,0)^2)</f>
        <v/>
      </c>
      <c r="P41" s="58">
        <f>IF(A41="","",YEAR(A41))</f>
        <v/>
      </c>
      <c r="Q41" s="59">
        <f>IF(D41="","",LN(1+D41))</f>
        <v/>
      </c>
      <c r="R41" s="27" t="n"/>
    </row>
    <row r="42">
      <c r="A42" s="43" t="n"/>
      <c r="B42" s="53" t="n"/>
      <c r="C42" s="32">
        <f>IF(A42="","",SUMIFS(Transactions!$J$6:$J$505,Transactions!$B$6:$B$505,"Deposit",Transactions!$A$6:$A$505,"&gt;"&amp;A41,Transactions!$A$6:$A$505,"&lt;="&amp;A42)-SUMIFS(Transactions!$J$6:$J$505,Transactions!$B$6:$B$505,"Withdrawal",Transactions!$A$6:$A$505,"&gt;"&amp;A41,Transactions!$A$6:$A$505,"&lt;="&amp;A42))</f>
        <v/>
      </c>
      <c r="D42" s="54">
        <f>IF(OR(A42="",B42=""),"",IF(B41="","",(B42-B41-C42)/(B41+0.5*C42)))</f>
        <v/>
      </c>
      <c r="E42" s="30" t="n"/>
      <c r="F42" s="54">
        <f>IF(OR(E42="",E41=""),"",E42/E41-1)</f>
        <v/>
      </c>
      <c r="G42" s="55">
        <f>IF(A42="","",Settings!$B$8/12)</f>
        <v/>
      </c>
      <c r="H42" s="54">
        <f>IF(D42="","",D42-G42)</f>
        <v/>
      </c>
      <c r="I42" s="54">
        <f>IF(F42="","",F42-G42)</f>
        <v/>
      </c>
      <c r="J42" s="54">
        <f>IF(OR(D42="",F42=""),"",D42-F42)</f>
        <v/>
      </c>
      <c r="K42" s="56">
        <f>IF(OR(A42="",B42=""),"",IF(D42="",K41,K41*(1+D42)))</f>
        <v/>
      </c>
      <c r="L42" s="56">
        <f>IF(E42="","",IF(F42="",L41,L41*(1+F42)))</f>
        <v/>
      </c>
      <c r="M42" s="33">
        <f>IF(K42="","",K42/MAX(K$6:K42)-1)</f>
        <v/>
      </c>
      <c r="N42" s="33">
        <f>IF(L42="","",L42/MAX(L$6:L42)-1)</f>
        <v/>
      </c>
      <c r="O42" s="57">
        <f>IF(H42="","",MIN(H42,0)^2)</f>
        <v/>
      </c>
      <c r="P42" s="58">
        <f>IF(A42="","",YEAR(A42))</f>
        <v/>
      </c>
      <c r="Q42" s="59">
        <f>IF(D42="","",LN(1+D42))</f>
        <v/>
      </c>
      <c r="R42" s="27" t="n"/>
    </row>
    <row r="43">
      <c r="A43" s="43" t="n"/>
      <c r="B43" s="53" t="n"/>
      <c r="C43" s="32">
        <f>IF(A43="","",SUMIFS(Transactions!$J$6:$J$505,Transactions!$B$6:$B$505,"Deposit",Transactions!$A$6:$A$505,"&gt;"&amp;A42,Transactions!$A$6:$A$505,"&lt;="&amp;A43)-SUMIFS(Transactions!$J$6:$J$505,Transactions!$B$6:$B$505,"Withdrawal",Transactions!$A$6:$A$505,"&gt;"&amp;A42,Transactions!$A$6:$A$505,"&lt;="&amp;A43))</f>
        <v/>
      </c>
      <c r="D43" s="54">
        <f>IF(OR(A43="",B43=""),"",IF(B42="","",(B43-B42-C43)/(B42+0.5*C43)))</f>
        <v/>
      </c>
      <c r="E43" s="30" t="n"/>
      <c r="F43" s="54">
        <f>IF(OR(E43="",E42=""),"",E43/E42-1)</f>
        <v/>
      </c>
      <c r="G43" s="55">
        <f>IF(A43="","",Settings!$B$8/12)</f>
        <v/>
      </c>
      <c r="H43" s="54">
        <f>IF(D43="","",D43-G43)</f>
        <v/>
      </c>
      <c r="I43" s="54">
        <f>IF(F43="","",F43-G43)</f>
        <v/>
      </c>
      <c r="J43" s="54">
        <f>IF(OR(D43="",F43=""),"",D43-F43)</f>
        <v/>
      </c>
      <c r="K43" s="56">
        <f>IF(OR(A43="",B43=""),"",IF(D43="",K42,K42*(1+D43)))</f>
        <v/>
      </c>
      <c r="L43" s="56">
        <f>IF(E43="","",IF(F43="",L42,L42*(1+F43)))</f>
        <v/>
      </c>
      <c r="M43" s="33">
        <f>IF(K43="","",K43/MAX(K$6:K43)-1)</f>
        <v/>
      </c>
      <c r="N43" s="33">
        <f>IF(L43="","",L43/MAX(L$6:L43)-1)</f>
        <v/>
      </c>
      <c r="O43" s="57">
        <f>IF(H43="","",MIN(H43,0)^2)</f>
        <v/>
      </c>
      <c r="P43" s="58">
        <f>IF(A43="","",YEAR(A43))</f>
        <v/>
      </c>
      <c r="Q43" s="59">
        <f>IF(D43="","",LN(1+D43))</f>
        <v/>
      </c>
      <c r="R43" s="27" t="n"/>
    </row>
    <row r="44">
      <c r="A44" s="43" t="n"/>
      <c r="B44" s="53" t="n"/>
      <c r="C44" s="32">
        <f>IF(A44="","",SUMIFS(Transactions!$J$6:$J$505,Transactions!$B$6:$B$505,"Deposit",Transactions!$A$6:$A$505,"&gt;"&amp;A43,Transactions!$A$6:$A$505,"&lt;="&amp;A44)-SUMIFS(Transactions!$J$6:$J$505,Transactions!$B$6:$B$505,"Withdrawal",Transactions!$A$6:$A$505,"&gt;"&amp;A43,Transactions!$A$6:$A$505,"&lt;="&amp;A44))</f>
        <v/>
      </c>
      <c r="D44" s="54">
        <f>IF(OR(A44="",B44=""),"",IF(B43="","",(B44-B43-C44)/(B43+0.5*C44)))</f>
        <v/>
      </c>
      <c r="E44" s="30" t="n"/>
      <c r="F44" s="54">
        <f>IF(OR(E44="",E43=""),"",E44/E43-1)</f>
        <v/>
      </c>
      <c r="G44" s="55">
        <f>IF(A44="","",Settings!$B$8/12)</f>
        <v/>
      </c>
      <c r="H44" s="54">
        <f>IF(D44="","",D44-G44)</f>
        <v/>
      </c>
      <c r="I44" s="54">
        <f>IF(F44="","",F44-G44)</f>
        <v/>
      </c>
      <c r="J44" s="54">
        <f>IF(OR(D44="",F44=""),"",D44-F44)</f>
        <v/>
      </c>
      <c r="K44" s="56">
        <f>IF(OR(A44="",B44=""),"",IF(D44="",K43,K43*(1+D44)))</f>
        <v/>
      </c>
      <c r="L44" s="56">
        <f>IF(E44="","",IF(F44="",L43,L43*(1+F44)))</f>
        <v/>
      </c>
      <c r="M44" s="33">
        <f>IF(K44="","",K44/MAX(K$6:K44)-1)</f>
        <v/>
      </c>
      <c r="N44" s="33">
        <f>IF(L44="","",L44/MAX(L$6:L44)-1)</f>
        <v/>
      </c>
      <c r="O44" s="57">
        <f>IF(H44="","",MIN(H44,0)^2)</f>
        <v/>
      </c>
      <c r="P44" s="58">
        <f>IF(A44="","",YEAR(A44))</f>
        <v/>
      </c>
      <c r="Q44" s="59">
        <f>IF(D44="","",LN(1+D44))</f>
        <v/>
      </c>
      <c r="R44" s="27" t="n"/>
    </row>
    <row r="45">
      <c r="A45" s="43" t="n"/>
      <c r="B45" s="53" t="n"/>
      <c r="C45" s="32">
        <f>IF(A45="","",SUMIFS(Transactions!$J$6:$J$505,Transactions!$B$6:$B$505,"Deposit",Transactions!$A$6:$A$505,"&gt;"&amp;A44,Transactions!$A$6:$A$505,"&lt;="&amp;A45)-SUMIFS(Transactions!$J$6:$J$505,Transactions!$B$6:$B$505,"Withdrawal",Transactions!$A$6:$A$505,"&gt;"&amp;A44,Transactions!$A$6:$A$505,"&lt;="&amp;A45))</f>
        <v/>
      </c>
      <c r="D45" s="54">
        <f>IF(OR(A45="",B45=""),"",IF(B44="","",(B45-B44-C45)/(B44+0.5*C45)))</f>
        <v/>
      </c>
      <c r="E45" s="30" t="n"/>
      <c r="F45" s="54">
        <f>IF(OR(E45="",E44=""),"",E45/E44-1)</f>
        <v/>
      </c>
      <c r="G45" s="55">
        <f>IF(A45="","",Settings!$B$8/12)</f>
        <v/>
      </c>
      <c r="H45" s="54">
        <f>IF(D45="","",D45-G45)</f>
        <v/>
      </c>
      <c r="I45" s="54">
        <f>IF(F45="","",F45-G45)</f>
        <v/>
      </c>
      <c r="J45" s="54">
        <f>IF(OR(D45="",F45=""),"",D45-F45)</f>
        <v/>
      </c>
      <c r="K45" s="56">
        <f>IF(OR(A45="",B45=""),"",IF(D45="",K44,K44*(1+D45)))</f>
        <v/>
      </c>
      <c r="L45" s="56">
        <f>IF(E45="","",IF(F45="",L44,L44*(1+F45)))</f>
        <v/>
      </c>
      <c r="M45" s="33">
        <f>IF(K45="","",K45/MAX(K$6:K45)-1)</f>
        <v/>
      </c>
      <c r="N45" s="33">
        <f>IF(L45="","",L45/MAX(L$6:L45)-1)</f>
        <v/>
      </c>
      <c r="O45" s="57">
        <f>IF(H45="","",MIN(H45,0)^2)</f>
        <v/>
      </c>
      <c r="P45" s="58">
        <f>IF(A45="","",YEAR(A45))</f>
        <v/>
      </c>
      <c r="Q45" s="59">
        <f>IF(D45="","",LN(1+D45))</f>
        <v/>
      </c>
      <c r="R45" s="27" t="n"/>
    </row>
    <row r="46">
      <c r="A46" s="43" t="n"/>
      <c r="B46" s="53" t="n"/>
      <c r="C46" s="32">
        <f>IF(A46="","",SUMIFS(Transactions!$J$6:$J$505,Transactions!$B$6:$B$505,"Deposit",Transactions!$A$6:$A$505,"&gt;"&amp;A45,Transactions!$A$6:$A$505,"&lt;="&amp;A46)-SUMIFS(Transactions!$J$6:$J$505,Transactions!$B$6:$B$505,"Withdrawal",Transactions!$A$6:$A$505,"&gt;"&amp;A45,Transactions!$A$6:$A$505,"&lt;="&amp;A46))</f>
        <v/>
      </c>
      <c r="D46" s="54">
        <f>IF(OR(A46="",B46=""),"",IF(B45="","",(B46-B45-C46)/(B45+0.5*C46)))</f>
        <v/>
      </c>
      <c r="E46" s="30" t="n"/>
      <c r="F46" s="54">
        <f>IF(OR(E46="",E45=""),"",E46/E45-1)</f>
        <v/>
      </c>
      <c r="G46" s="55">
        <f>IF(A46="","",Settings!$B$8/12)</f>
        <v/>
      </c>
      <c r="H46" s="54">
        <f>IF(D46="","",D46-G46)</f>
        <v/>
      </c>
      <c r="I46" s="54">
        <f>IF(F46="","",F46-G46)</f>
        <v/>
      </c>
      <c r="J46" s="54">
        <f>IF(OR(D46="",F46=""),"",D46-F46)</f>
        <v/>
      </c>
      <c r="K46" s="56">
        <f>IF(OR(A46="",B46=""),"",IF(D46="",K45,K45*(1+D46)))</f>
        <v/>
      </c>
      <c r="L46" s="56">
        <f>IF(E46="","",IF(F46="",L45,L45*(1+F46)))</f>
        <v/>
      </c>
      <c r="M46" s="33">
        <f>IF(K46="","",K46/MAX(K$6:K46)-1)</f>
        <v/>
      </c>
      <c r="N46" s="33">
        <f>IF(L46="","",L46/MAX(L$6:L46)-1)</f>
        <v/>
      </c>
      <c r="O46" s="57">
        <f>IF(H46="","",MIN(H46,0)^2)</f>
        <v/>
      </c>
      <c r="P46" s="58">
        <f>IF(A46="","",YEAR(A46))</f>
        <v/>
      </c>
      <c r="Q46" s="59">
        <f>IF(D46="","",LN(1+D46))</f>
        <v/>
      </c>
      <c r="R46" s="27" t="n"/>
    </row>
    <row r="47">
      <c r="A47" s="43" t="n"/>
      <c r="B47" s="53" t="n"/>
      <c r="C47" s="32">
        <f>IF(A47="","",SUMIFS(Transactions!$J$6:$J$505,Transactions!$B$6:$B$505,"Deposit",Transactions!$A$6:$A$505,"&gt;"&amp;A46,Transactions!$A$6:$A$505,"&lt;="&amp;A47)-SUMIFS(Transactions!$J$6:$J$505,Transactions!$B$6:$B$505,"Withdrawal",Transactions!$A$6:$A$505,"&gt;"&amp;A46,Transactions!$A$6:$A$505,"&lt;="&amp;A47))</f>
        <v/>
      </c>
      <c r="D47" s="54">
        <f>IF(OR(A47="",B47=""),"",IF(B46="","",(B47-B46-C47)/(B46+0.5*C47)))</f>
        <v/>
      </c>
      <c r="E47" s="30" t="n"/>
      <c r="F47" s="54">
        <f>IF(OR(E47="",E46=""),"",E47/E46-1)</f>
        <v/>
      </c>
      <c r="G47" s="55">
        <f>IF(A47="","",Settings!$B$8/12)</f>
        <v/>
      </c>
      <c r="H47" s="54">
        <f>IF(D47="","",D47-G47)</f>
        <v/>
      </c>
      <c r="I47" s="54">
        <f>IF(F47="","",F47-G47)</f>
        <v/>
      </c>
      <c r="J47" s="54">
        <f>IF(OR(D47="",F47=""),"",D47-F47)</f>
        <v/>
      </c>
      <c r="K47" s="56">
        <f>IF(OR(A47="",B47=""),"",IF(D47="",K46,K46*(1+D47)))</f>
        <v/>
      </c>
      <c r="L47" s="56">
        <f>IF(E47="","",IF(F47="",L46,L46*(1+F47)))</f>
        <v/>
      </c>
      <c r="M47" s="33">
        <f>IF(K47="","",K47/MAX(K$6:K47)-1)</f>
        <v/>
      </c>
      <c r="N47" s="33">
        <f>IF(L47="","",L47/MAX(L$6:L47)-1)</f>
        <v/>
      </c>
      <c r="O47" s="57">
        <f>IF(H47="","",MIN(H47,0)^2)</f>
        <v/>
      </c>
      <c r="P47" s="58">
        <f>IF(A47="","",YEAR(A47))</f>
        <v/>
      </c>
      <c r="Q47" s="59">
        <f>IF(D47="","",LN(1+D47))</f>
        <v/>
      </c>
      <c r="R47" s="27" t="n"/>
    </row>
    <row r="48">
      <c r="A48" s="43" t="n"/>
      <c r="B48" s="53" t="n"/>
      <c r="C48" s="32">
        <f>IF(A48="","",SUMIFS(Transactions!$J$6:$J$505,Transactions!$B$6:$B$505,"Deposit",Transactions!$A$6:$A$505,"&gt;"&amp;A47,Transactions!$A$6:$A$505,"&lt;="&amp;A48)-SUMIFS(Transactions!$J$6:$J$505,Transactions!$B$6:$B$505,"Withdrawal",Transactions!$A$6:$A$505,"&gt;"&amp;A47,Transactions!$A$6:$A$505,"&lt;="&amp;A48))</f>
        <v/>
      </c>
      <c r="D48" s="54">
        <f>IF(OR(A48="",B48=""),"",IF(B47="","",(B48-B47-C48)/(B47+0.5*C48)))</f>
        <v/>
      </c>
      <c r="E48" s="30" t="n"/>
      <c r="F48" s="54">
        <f>IF(OR(E48="",E47=""),"",E48/E47-1)</f>
        <v/>
      </c>
      <c r="G48" s="55">
        <f>IF(A48="","",Settings!$B$8/12)</f>
        <v/>
      </c>
      <c r="H48" s="54">
        <f>IF(D48="","",D48-G48)</f>
        <v/>
      </c>
      <c r="I48" s="54">
        <f>IF(F48="","",F48-G48)</f>
        <v/>
      </c>
      <c r="J48" s="54">
        <f>IF(OR(D48="",F48=""),"",D48-F48)</f>
        <v/>
      </c>
      <c r="K48" s="56">
        <f>IF(OR(A48="",B48=""),"",IF(D48="",K47,K47*(1+D48)))</f>
        <v/>
      </c>
      <c r="L48" s="56">
        <f>IF(E48="","",IF(F48="",L47,L47*(1+F48)))</f>
        <v/>
      </c>
      <c r="M48" s="33">
        <f>IF(K48="","",K48/MAX(K$6:K48)-1)</f>
        <v/>
      </c>
      <c r="N48" s="33">
        <f>IF(L48="","",L48/MAX(L$6:L48)-1)</f>
        <v/>
      </c>
      <c r="O48" s="57">
        <f>IF(H48="","",MIN(H48,0)^2)</f>
        <v/>
      </c>
      <c r="P48" s="58">
        <f>IF(A48="","",YEAR(A48))</f>
        <v/>
      </c>
      <c r="Q48" s="59">
        <f>IF(D48="","",LN(1+D48))</f>
        <v/>
      </c>
      <c r="R48" s="27" t="n"/>
    </row>
    <row r="49">
      <c r="A49" s="43" t="n"/>
      <c r="B49" s="53" t="n"/>
      <c r="C49" s="32">
        <f>IF(A49="","",SUMIFS(Transactions!$J$6:$J$505,Transactions!$B$6:$B$505,"Deposit",Transactions!$A$6:$A$505,"&gt;"&amp;A48,Transactions!$A$6:$A$505,"&lt;="&amp;A49)-SUMIFS(Transactions!$J$6:$J$505,Transactions!$B$6:$B$505,"Withdrawal",Transactions!$A$6:$A$505,"&gt;"&amp;A48,Transactions!$A$6:$A$505,"&lt;="&amp;A49))</f>
        <v/>
      </c>
      <c r="D49" s="54">
        <f>IF(OR(A49="",B49=""),"",IF(B48="","",(B49-B48-C49)/(B48+0.5*C49)))</f>
        <v/>
      </c>
      <c r="E49" s="30" t="n"/>
      <c r="F49" s="54">
        <f>IF(OR(E49="",E48=""),"",E49/E48-1)</f>
        <v/>
      </c>
      <c r="G49" s="55">
        <f>IF(A49="","",Settings!$B$8/12)</f>
        <v/>
      </c>
      <c r="H49" s="54">
        <f>IF(D49="","",D49-G49)</f>
        <v/>
      </c>
      <c r="I49" s="54">
        <f>IF(F49="","",F49-G49)</f>
        <v/>
      </c>
      <c r="J49" s="54">
        <f>IF(OR(D49="",F49=""),"",D49-F49)</f>
        <v/>
      </c>
      <c r="K49" s="56">
        <f>IF(OR(A49="",B49=""),"",IF(D49="",K48,K48*(1+D49)))</f>
        <v/>
      </c>
      <c r="L49" s="56">
        <f>IF(E49="","",IF(F49="",L48,L48*(1+F49)))</f>
        <v/>
      </c>
      <c r="M49" s="33">
        <f>IF(K49="","",K49/MAX(K$6:K49)-1)</f>
        <v/>
      </c>
      <c r="N49" s="33">
        <f>IF(L49="","",L49/MAX(L$6:L49)-1)</f>
        <v/>
      </c>
      <c r="O49" s="57">
        <f>IF(H49="","",MIN(H49,0)^2)</f>
        <v/>
      </c>
      <c r="P49" s="58">
        <f>IF(A49="","",YEAR(A49))</f>
        <v/>
      </c>
      <c r="Q49" s="59">
        <f>IF(D49="","",LN(1+D49))</f>
        <v/>
      </c>
      <c r="R49" s="27" t="n"/>
    </row>
    <row r="50">
      <c r="A50" s="43" t="n"/>
      <c r="B50" s="53" t="n"/>
      <c r="C50" s="32">
        <f>IF(A50="","",SUMIFS(Transactions!$J$6:$J$505,Transactions!$B$6:$B$505,"Deposit",Transactions!$A$6:$A$505,"&gt;"&amp;A49,Transactions!$A$6:$A$505,"&lt;="&amp;A50)-SUMIFS(Transactions!$J$6:$J$505,Transactions!$B$6:$B$505,"Withdrawal",Transactions!$A$6:$A$505,"&gt;"&amp;A49,Transactions!$A$6:$A$505,"&lt;="&amp;A50))</f>
        <v/>
      </c>
      <c r="D50" s="54">
        <f>IF(OR(A50="",B50=""),"",IF(B49="","",(B50-B49-C50)/(B49+0.5*C50)))</f>
        <v/>
      </c>
      <c r="E50" s="30" t="n"/>
      <c r="F50" s="54">
        <f>IF(OR(E50="",E49=""),"",E50/E49-1)</f>
        <v/>
      </c>
      <c r="G50" s="55">
        <f>IF(A50="","",Settings!$B$8/12)</f>
        <v/>
      </c>
      <c r="H50" s="54">
        <f>IF(D50="","",D50-G50)</f>
        <v/>
      </c>
      <c r="I50" s="54">
        <f>IF(F50="","",F50-G50)</f>
        <v/>
      </c>
      <c r="J50" s="54">
        <f>IF(OR(D50="",F50=""),"",D50-F50)</f>
        <v/>
      </c>
      <c r="K50" s="56">
        <f>IF(OR(A50="",B50=""),"",IF(D50="",K49,K49*(1+D50)))</f>
        <v/>
      </c>
      <c r="L50" s="56">
        <f>IF(E50="","",IF(F50="",L49,L49*(1+F50)))</f>
        <v/>
      </c>
      <c r="M50" s="33">
        <f>IF(K50="","",K50/MAX(K$6:K50)-1)</f>
        <v/>
      </c>
      <c r="N50" s="33">
        <f>IF(L50="","",L50/MAX(L$6:L50)-1)</f>
        <v/>
      </c>
      <c r="O50" s="57">
        <f>IF(H50="","",MIN(H50,0)^2)</f>
        <v/>
      </c>
      <c r="P50" s="58">
        <f>IF(A50="","",YEAR(A50))</f>
        <v/>
      </c>
      <c r="Q50" s="59">
        <f>IF(D50="","",LN(1+D50))</f>
        <v/>
      </c>
      <c r="R50" s="27" t="n"/>
    </row>
    <row r="51">
      <c r="A51" s="43" t="n"/>
      <c r="B51" s="53" t="n"/>
      <c r="C51" s="32">
        <f>IF(A51="","",SUMIFS(Transactions!$J$6:$J$505,Transactions!$B$6:$B$505,"Deposit",Transactions!$A$6:$A$505,"&gt;"&amp;A50,Transactions!$A$6:$A$505,"&lt;="&amp;A51)-SUMIFS(Transactions!$J$6:$J$505,Transactions!$B$6:$B$505,"Withdrawal",Transactions!$A$6:$A$505,"&gt;"&amp;A50,Transactions!$A$6:$A$505,"&lt;="&amp;A51))</f>
        <v/>
      </c>
      <c r="D51" s="54">
        <f>IF(OR(A51="",B51=""),"",IF(B50="","",(B51-B50-C51)/(B50+0.5*C51)))</f>
        <v/>
      </c>
      <c r="E51" s="30" t="n"/>
      <c r="F51" s="54">
        <f>IF(OR(E51="",E50=""),"",E51/E50-1)</f>
        <v/>
      </c>
      <c r="G51" s="55">
        <f>IF(A51="","",Settings!$B$8/12)</f>
        <v/>
      </c>
      <c r="H51" s="54">
        <f>IF(D51="","",D51-G51)</f>
        <v/>
      </c>
      <c r="I51" s="54">
        <f>IF(F51="","",F51-G51)</f>
        <v/>
      </c>
      <c r="J51" s="54">
        <f>IF(OR(D51="",F51=""),"",D51-F51)</f>
        <v/>
      </c>
      <c r="K51" s="56">
        <f>IF(OR(A51="",B51=""),"",IF(D51="",K50,K50*(1+D51)))</f>
        <v/>
      </c>
      <c r="L51" s="56">
        <f>IF(E51="","",IF(F51="",L50,L50*(1+F51)))</f>
        <v/>
      </c>
      <c r="M51" s="33">
        <f>IF(K51="","",K51/MAX(K$6:K51)-1)</f>
        <v/>
      </c>
      <c r="N51" s="33">
        <f>IF(L51="","",L51/MAX(L$6:L51)-1)</f>
        <v/>
      </c>
      <c r="O51" s="57">
        <f>IF(H51="","",MIN(H51,0)^2)</f>
        <v/>
      </c>
      <c r="P51" s="58">
        <f>IF(A51="","",YEAR(A51))</f>
        <v/>
      </c>
      <c r="Q51" s="59">
        <f>IF(D51="","",LN(1+D51))</f>
        <v/>
      </c>
      <c r="R51" s="27" t="n"/>
    </row>
    <row r="52">
      <c r="A52" s="43" t="n"/>
      <c r="B52" s="53" t="n"/>
      <c r="C52" s="32">
        <f>IF(A52="","",SUMIFS(Transactions!$J$6:$J$505,Transactions!$B$6:$B$505,"Deposit",Transactions!$A$6:$A$505,"&gt;"&amp;A51,Transactions!$A$6:$A$505,"&lt;="&amp;A52)-SUMIFS(Transactions!$J$6:$J$505,Transactions!$B$6:$B$505,"Withdrawal",Transactions!$A$6:$A$505,"&gt;"&amp;A51,Transactions!$A$6:$A$505,"&lt;="&amp;A52))</f>
        <v/>
      </c>
      <c r="D52" s="54">
        <f>IF(OR(A52="",B52=""),"",IF(B51="","",(B52-B51-C52)/(B51+0.5*C52)))</f>
        <v/>
      </c>
      <c r="E52" s="30" t="n"/>
      <c r="F52" s="54">
        <f>IF(OR(E52="",E51=""),"",E52/E51-1)</f>
        <v/>
      </c>
      <c r="G52" s="55">
        <f>IF(A52="","",Settings!$B$8/12)</f>
        <v/>
      </c>
      <c r="H52" s="54">
        <f>IF(D52="","",D52-G52)</f>
        <v/>
      </c>
      <c r="I52" s="54">
        <f>IF(F52="","",F52-G52)</f>
        <v/>
      </c>
      <c r="J52" s="54">
        <f>IF(OR(D52="",F52=""),"",D52-F52)</f>
        <v/>
      </c>
      <c r="K52" s="56">
        <f>IF(OR(A52="",B52=""),"",IF(D52="",K51,K51*(1+D52)))</f>
        <v/>
      </c>
      <c r="L52" s="56">
        <f>IF(E52="","",IF(F52="",L51,L51*(1+F52)))</f>
        <v/>
      </c>
      <c r="M52" s="33">
        <f>IF(K52="","",K52/MAX(K$6:K52)-1)</f>
        <v/>
      </c>
      <c r="N52" s="33">
        <f>IF(L52="","",L52/MAX(L$6:L52)-1)</f>
        <v/>
      </c>
      <c r="O52" s="57">
        <f>IF(H52="","",MIN(H52,0)^2)</f>
        <v/>
      </c>
      <c r="P52" s="58">
        <f>IF(A52="","",YEAR(A52))</f>
        <v/>
      </c>
      <c r="Q52" s="59">
        <f>IF(D52="","",LN(1+D52))</f>
        <v/>
      </c>
      <c r="R52" s="27" t="n"/>
    </row>
    <row r="53">
      <c r="A53" s="43" t="n"/>
      <c r="B53" s="53" t="n"/>
      <c r="C53" s="32">
        <f>IF(A53="","",SUMIFS(Transactions!$J$6:$J$505,Transactions!$B$6:$B$505,"Deposit",Transactions!$A$6:$A$505,"&gt;"&amp;A52,Transactions!$A$6:$A$505,"&lt;="&amp;A53)-SUMIFS(Transactions!$J$6:$J$505,Transactions!$B$6:$B$505,"Withdrawal",Transactions!$A$6:$A$505,"&gt;"&amp;A52,Transactions!$A$6:$A$505,"&lt;="&amp;A53))</f>
        <v/>
      </c>
      <c r="D53" s="54">
        <f>IF(OR(A53="",B53=""),"",IF(B52="","",(B53-B52-C53)/(B52+0.5*C53)))</f>
        <v/>
      </c>
      <c r="E53" s="30" t="n"/>
      <c r="F53" s="54">
        <f>IF(OR(E53="",E52=""),"",E53/E52-1)</f>
        <v/>
      </c>
      <c r="G53" s="55">
        <f>IF(A53="","",Settings!$B$8/12)</f>
        <v/>
      </c>
      <c r="H53" s="54">
        <f>IF(D53="","",D53-G53)</f>
        <v/>
      </c>
      <c r="I53" s="54">
        <f>IF(F53="","",F53-G53)</f>
        <v/>
      </c>
      <c r="J53" s="54">
        <f>IF(OR(D53="",F53=""),"",D53-F53)</f>
        <v/>
      </c>
      <c r="K53" s="56">
        <f>IF(OR(A53="",B53=""),"",IF(D53="",K52,K52*(1+D53)))</f>
        <v/>
      </c>
      <c r="L53" s="56">
        <f>IF(E53="","",IF(F53="",L52,L52*(1+F53)))</f>
        <v/>
      </c>
      <c r="M53" s="33">
        <f>IF(K53="","",K53/MAX(K$6:K53)-1)</f>
        <v/>
      </c>
      <c r="N53" s="33">
        <f>IF(L53="","",L53/MAX(L$6:L53)-1)</f>
        <v/>
      </c>
      <c r="O53" s="57">
        <f>IF(H53="","",MIN(H53,0)^2)</f>
        <v/>
      </c>
      <c r="P53" s="58">
        <f>IF(A53="","",YEAR(A53))</f>
        <v/>
      </c>
      <c r="Q53" s="59">
        <f>IF(D53="","",LN(1+D53))</f>
        <v/>
      </c>
      <c r="R53" s="27" t="n"/>
    </row>
    <row r="54">
      <c r="A54" s="43" t="n"/>
      <c r="B54" s="53" t="n"/>
      <c r="C54" s="32">
        <f>IF(A54="","",SUMIFS(Transactions!$J$6:$J$505,Transactions!$B$6:$B$505,"Deposit",Transactions!$A$6:$A$505,"&gt;"&amp;A53,Transactions!$A$6:$A$505,"&lt;="&amp;A54)-SUMIFS(Transactions!$J$6:$J$505,Transactions!$B$6:$B$505,"Withdrawal",Transactions!$A$6:$A$505,"&gt;"&amp;A53,Transactions!$A$6:$A$505,"&lt;="&amp;A54))</f>
        <v/>
      </c>
      <c r="D54" s="54">
        <f>IF(OR(A54="",B54=""),"",IF(B53="","",(B54-B53-C54)/(B53+0.5*C54)))</f>
        <v/>
      </c>
      <c r="E54" s="30" t="n"/>
      <c r="F54" s="54">
        <f>IF(OR(E54="",E53=""),"",E54/E53-1)</f>
        <v/>
      </c>
      <c r="G54" s="55">
        <f>IF(A54="","",Settings!$B$8/12)</f>
        <v/>
      </c>
      <c r="H54" s="54">
        <f>IF(D54="","",D54-G54)</f>
        <v/>
      </c>
      <c r="I54" s="54">
        <f>IF(F54="","",F54-G54)</f>
        <v/>
      </c>
      <c r="J54" s="54">
        <f>IF(OR(D54="",F54=""),"",D54-F54)</f>
        <v/>
      </c>
      <c r="K54" s="56">
        <f>IF(OR(A54="",B54=""),"",IF(D54="",K53,K53*(1+D54)))</f>
        <v/>
      </c>
      <c r="L54" s="56">
        <f>IF(E54="","",IF(F54="",L53,L53*(1+F54)))</f>
        <v/>
      </c>
      <c r="M54" s="33">
        <f>IF(K54="","",K54/MAX(K$6:K54)-1)</f>
        <v/>
      </c>
      <c r="N54" s="33">
        <f>IF(L54="","",L54/MAX(L$6:L54)-1)</f>
        <v/>
      </c>
      <c r="O54" s="57">
        <f>IF(H54="","",MIN(H54,0)^2)</f>
        <v/>
      </c>
      <c r="P54" s="58">
        <f>IF(A54="","",YEAR(A54))</f>
        <v/>
      </c>
      <c r="Q54" s="59">
        <f>IF(D54="","",LN(1+D54))</f>
        <v/>
      </c>
      <c r="R54" s="27" t="n"/>
    </row>
    <row r="55">
      <c r="A55" s="43" t="n"/>
      <c r="B55" s="53" t="n"/>
      <c r="C55" s="32">
        <f>IF(A55="","",SUMIFS(Transactions!$J$6:$J$505,Transactions!$B$6:$B$505,"Deposit",Transactions!$A$6:$A$505,"&gt;"&amp;A54,Transactions!$A$6:$A$505,"&lt;="&amp;A55)-SUMIFS(Transactions!$J$6:$J$505,Transactions!$B$6:$B$505,"Withdrawal",Transactions!$A$6:$A$505,"&gt;"&amp;A54,Transactions!$A$6:$A$505,"&lt;="&amp;A55))</f>
        <v/>
      </c>
      <c r="D55" s="54">
        <f>IF(OR(A55="",B55=""),"",IF(B54="","",(B55-B54-C55)/(B54+0.5*C55)))</f>
        <v/>
      </c>
      <c r="E55" s="30" t="n"/>
      <c r="F55" s="54">
        <f>IF(OR(E55="",E54=""),"",E55/E54-1)</f>
        <v/>
      </c>
      <c r="G55" s="55">
        <f>IF(A55="","",Settings!$B$8/12)</f>
        <v/>
      </c>
      <c r="H55" s="54">
        <f>IF(D55="","",D55-G55)</f>
        <v/>
      </c>
      <c r="I55" s="54">
        <f>IF(F55="","",F55-G55)</f>
        <v/>
      </c>
      <c r="J55" s="54">
        <f>IF(OR(D55="",F55=""),"",D55-F55)</f>
        <v/>
      </c>
      <c r="K55" s="56">
        <f>IF(OR(A55="",B55=""),"",IF(D55="",K54,K54*(1+D55)))</f>
        <v/>
      </c>
      <c r="L55" s="56">
        <f>IF(E55="","",IF(F55="",L54,L54*(1+F55)))</f>
        <v/>
      </c>
      <c r="M55" s="33">
        <f>IF(K55="","",K55/MAX(K$6:K55)-1)</f>
        <v/>
      </c>
      <c r="N55" s="33">
        <f>IF(L55="","",L55/MAX(L$6:L55)-1)</f>
        <v/>
      </c>
      <c r="O55" s="57">
        <f>IF(H55="","",MIN(H55,0)^2)</f>
        <v/>
      </c>
      <c r="P55" s="58">
        <f>IF(A55="","",YEAR(A55))</f>
        <v/>
      </c>
      <c r="Q55" s="59">
        <f>IF(D55="","",LN(1+D55))</f>
        <v/>
      </c>
      <c r="R55" s="27" t="n"/>
    </row>
    <row r="56">
      <c r="A56" s="43" t="n"/>
      <c r="B56" s="53" t="n"/>
      <c r="C56" s="32">
        <f>IF(A56="","",SUMIFS(Transactions!$J$6:$J$505,Transactions!$B$6:$B$505,"Deposit",Transactions!$A$6:$A$505,"&gt;"&amp;A55,Transactions!$A$6:$A$505,"&lt;="&amp;A56)-SUMIFS(Transactions!$J$6:$J$505,Transactions!$B$6:$B$505,"Withdrawal",Transactions!$A$6:$A$505,"&gt;"&amp;A55,Transactions!$A$6:$A$505,"&lt;="&amp;A56))</f>
        <v/>
      </c>
      <c r="D56" s="54">
        <f>IF(OR(A56="",B56=""),"",IF(B55="","",(B56-B55-C56)/(B55+0.5*C56)))</f>
        <v/>
      </c>
      <c r="E56" s="30" t="n"/>
      <c r="F56" s="54">
        <f>IF(OR(E56="",E55=""),"",E56/E55-1)</f>
        <v/>
      </c>
      <c r="G56" s="55">
        <f>IF(A56="","",Settings!$B$8/12)</f>
        <v/>
      </c>
      <c r="H56" s="54">
        <f>IF(D56="","",D56-G56)</f>
        <v/>
      </c>
      <c r="I56" s="54">
        <f>IF(F56="","",F56-G56)</f>
        <v/>
      </c>
      <c r="J56" s="54">
        <f>IF(OR(D56="",F56=""),"",D56-F56)</f>
        <v/>
      </c>
      <c r="K56" s="56">
        <f>IF(OR(A56="",B56=""),"",IF(D56="",K55,K55*(1+D56)))</f>
        <v/>
      </c>
      <c r="L56" s="56">
        <f>IF(E56="","",IF(F56="",L55,L55*(1+F56)))</f>
        <v/>
      </c>
      <c r="M56" s="33">
        <f>IF(K56="","",K56/MAX(K$6:K56)-1)</f>
        <v/>
      </c>
      <c r="N56" s="33">
        <f>IF(L56="","",L56/MAX(L$6:L56)-1)</f>
        <v/>
      </c>
      <c r="O56" s="57">
        <f>IF(H56="","",MIN(H56,0)^2)</f>
        <v/>
      </c>
      <c r="P56" s="58">
        <f>IF(A56="","",YEAR(A56))</f>
        <v/>
      </c>
      <c r="Q56" s="59">
        <f>IF(D56="","",LN(1+D56))</f>
        <v/>
      </c>
      <c r="R56" s="27" t="n"/>
    </row>
    <row r="57">
      <c r="A57" s="43" t="n"/>
      <c r="B57" s="53" t="n"/>
      <c r="C57" s="32">
        <f>IF(A57="","",SUMIFS(Transactions!$J$6:$J$505,Transactions!$B$6:$B$505,"Deposit",Transactions!$A$6:$A$505,"&gt;"&amp;A56,Transactions!$A$6:$A$505,"&lt;="&amp;A57)-SUMIFS(Transactions!$J$6:$J$505,Transactions!$B$6:$B$505,"Withdrawal",Transactions!$A$6:$A$505,"&gt;"&amp;A56,Transactions!$A$6:$A$505,"&lt;="&amp;A57))</f>
        <v/>
      </c>
      <c r="D57" s="54">
        <f>IF(OR(A57="",B57=""),"",IF(B56="","",(B57-B56-C57)/(B56+0.5*C57)))</f>
        <v/>
      </c>
      <c r="E57" s="30" t="n"/>
      <c r="F57" s="54">
        <f>IF(OR(E57="",E56=""),"",E57/E56-1)</f>
        <v/>
      </c>
      <c r="G57" s="55">
        <f>IF(A57="","",Settings!$B$8/12)</f>
        <v/>
      </c>
      <c r="H57" s="54">
        <f>IF(D57="","",D57-G57)</f>
        <v/>
      </c>
      <c r="I57" s="54">
        <f>IF(F57="","",F57-G57)</f>
        <v/>
      </c>
      <c r="J57" s="54">
        <f>IF(OR(D57="",F57=""),"",D57-F57)</f>
        <v/>
      </c>
      <c r="K57" s="56">
        <f>IF(OR(A57="",B57=""),"",IF(D57="",K56,K56*(1+D57)))</f>
        <v/>
      </c>
      <c r="L57" s="56">
        <f>IF(E57="","",IF(F57="",L56,L56*(1+F57)))</f>
        <v/>
      </c>
      <c r="M57" s="33">
        <f>IF(K57="","",K57/MAX(K$6:K57)-1)</f>
        <v/>
      </c>
      <c r="N57" s="33">
        <f>IF(L57="","",L57/MAX(L$6:L57)-1)</f>
        <v/>
      </c>
      <c r="O57" s="57">
        <f>IF(H57="","",MIN(H57,0)^2)</f>
        <v/>
      </c>
      <c r="P57" s="58">
        <f>IF(A57="","",YEAR(A57))</f>
        <v/>
      </c>
      <c r="Q57" s="59">
        <f>IF(D57="","",LN(1+D57))</f>
        <v/>
      </c>
      <c r="R57" s="27" t="n"/>
    </row>
    <row r="58">
      <c r="A58" s="43" t="n"/>
      <c r="B58" s="53" t="n"/>
      <c r="C58" s="32">
        <f>IF(A58="","",SUMIFS(Transactions!$J$6:$J$505,Transactions!$B$6:$B$505,"Deposit",Transactions!$A$6:$A$505,"&gt;"&amp;A57,Transactions!$A$6:$A$505,"&lt;="&amp;A58)-SUMIFS(Transactions!$J$6:$J$505,Transactions!$B$6:$B$505,"Withdrawal",Transactions!$A$6:$A$505,"&gt;"&amp;A57,Transactions!$A$6:$A$505,"&lt;="&amp;A58))</f>
        <v/>
      </c>
      <c r="D58" s="54">
        <f>IF(OR(A58="",B58=""),"",IF(B57="","",(B58-B57-C58)/(B57+0.5*C58)))</f>
        <v/>
      </c>
      <c r="E58" s="30" t="n"/>
      <c r="F58" s="54">
        <f>IF(OR(E58="",E57=""),"",E58/E57-1)</f>
        <v/>
      </c>
      <c r="G58" s="55">
        <f>IF(A58="","",Settings!$B$8/12)</f>
        <v/>
      </c>
      <c r="H58" s="54">
        <f>IF(D58="","",D58-G58)</f>
        <v/>
      </c>
      <c r="I58" s="54">
        <f>IF(F58="","",F58-G58)</f>
        <v/>
      </c>
      <c r="J58" s="54">
        <f>IF(OR(D58="",F58=""),"",D58-F58)</f>
        <v/>
      </c>
      <c r="K58" s="56">
        <f>IF(OR(A58="",B58=""),"",IF(D58="",K57,K57*(1+D58)))</f>
        <v/>
      </c>
      <c r="L58" s="56">
        <f>IF(E58="","",IF(F58="",L57,L57*(1+F58)))</f>
        <v/>
      </c>
      <c r="M58" s="33">
        <f>IF(K58="","",K58/MAX(K$6:K58)-1)</f>
        <v/>
      </c>
      <c r="N58" s="33">
        <f>IF(L58="","",L58/MAX(L$6:L58)-1)</f>
        <v/>
      </c>
      <c r="O58" s="57">
        <f>IF(H58="","",MIN(H58,0)^2)</f>
        <v/>
      </c>
      <c r="P58" s="58">
        <f>IF(A58="","",YEAR(A58))</f>
        <v/>
      </c>
      <c r="Q58" s="59">
        <f>IF(D58="","",LN(1+D58))</f>
        <v/>
      </c>
      <c r="R58" s="27" t="n"/>
    </row>
    <row r="59">
      <c r="A59" s="43" t="n"/>
      <c r="B59" s="53" t="n"/>
      <c r="C59" s="32">
        <f>IF(A59="","",SUMIFS(Transactions!$J$6:$J$505,Transactions!$B$6:$B$505,"Deposit",Transactions!$A$6:$A$505,"&gt;"&amp;A58,Transactions!$A$6:$A$505,"&lt;="&amp;A59)-SUMIFS(Transactions!$J$6:$J$505,Transactions!$B$6:$B$505,"Withdrawal",Transactions!$A$6:$A$505,"&gt;"&amp;A58,Transactions!$A$6:$A$505,"&lt;="&amp;A59))</f>
        <v/>
      </c>
      <c r="D59" s="54">
        <f>IF(OR(A59="",B59=""),"",IF(B58="","",(B59-B58-C59)/(B58+0.5*C59)))</f>
        <v/>
      </c>
      <c r="E59" s="30" t="n"/>
      <c r="F59" s="54">
        <f>IF(OR(E59="",E58=""),"",E59/E58-1)</f>
        <v/>
      </c>
      <c r="G59" s="55">
        <f>IF(A59="","",Settings!$B$8/12)</f>
        <v/>
      </c>
      <c r="H59" s="54">
        <f>IF(D59="","",D59-G59)</f>
        <v/>
      </c>
      <c r="I59" s="54">
        <f>IF(F59="","",F59-G59)</f>
        <v/>
      </c>
      <c r="J59" s="54">
        <f>IF(OR(D59="",F59=""),"",D59-F59)</f>
        <v/>
      </c>
      <c r="K59" s="56">
        <f>IF(OR(A59="",B59=""),"",IF(D59="",K58,K58*(1+D59)))</f>
        <v/>
      </c>
      <c r="L59" s="56">
        <f>IF(E59="","",IF(F59="",L58,L58*(1+F59)))</f>
        <v/>
      </c>
      <c r="M59" s="33">
        <f>IF(K59="","",K59/MAX(K$6:K59)-1)</f>
        <v/>
      </c>
      <c r="N59" s="33">
        <f>IF(L59="","",L59/MAX(L$6:L59)-1)</f>
        <v/>
      </c>
      <c r="O59" s="57">
        <f>IF(H59="","",MIN(H59,0)^2)</f>
        <v/>
      </c>
      <c r="P59" s="58">
        <f>IF(A59="","",YEAR(A59))</f>
        <v/>
      </c>
      <c r="Q59" s="59">
        <f>IF(D59="","",LN(1+D59))</f>
        <v/>
      </c>
      <c r="R59" s="27" t="n"/>
    </row>
    <row r="60">
      <c r="A60" s="43" t="n"/>
      <c r="B60" s="53" t="n"/>
      <c r="C60" s="32">
        <f>IF(A60="","",SUMIFS(Transactions!$J$6:$J$505,Transactions!$B$6:$B$505,"Deposit",Transactions!$A$6:$A$505,"&gt;"&amp;A59,Transactions!$A$6:$A$505,"&lt;="&amp;A60)-SUMIFS(Transactions!$J$6:$J$505,Transactions!$B$6:$B$505,"Withdrawal",Transactions!$A$6:$A$505,"&gt;"&amp;A59,Transactions!$A$6:$A$505,"&lt;="&amp;A60))</f>
        <v/>
      </c>
      <c r="D60" s="54">
        <f>IF(OR(A60="",B60=""),"",IF(B59="","",(B60-B59-C60)/(B59+0.5*C60)))</f>
        <v/>
      </c>
      <c r="E60" s="30" t="n"/>
      <c r="F60" s="54">
        <f>IF(OR(E60="",E59=""),"",E60/E59-1)</f>
        <v/>
      </c>
      <c r="G60" s="55">
        <f>IF(A60="","",Settings!$B$8/12)</f>
        <v/>
      </c>
      <c r="H60" s="54">
        <f>IF(D60="","",D60-G60)</f>
        <v/>
      </c>
      <c r="I60" s="54">
        <f>IF(F60="","",F60-G60)</f>
        <v/>
      </c>
      <c r="J60" s="54">
        <f>IF(OR(D60="",F60=""),"",D60-F60)</f>
        <v/>
      </c>
      <c r="K60" s="56">
        <f>IF(OR(A60="",B60=""),"",IF(D60="",K59,K59*(1+D60)))</f>
        <v/>
      </c>
      <c r="L60" s="56">
        <f>IF(E60="","",IF(F60="",L59,L59*(1+F60)))</f>
        <v/>
      </c>
      <c r="M60" s="33">
        <f>IF(K60="","",K60/MAX(K$6:K60)-1)</f>
        <v/>
      </c>
      <c r="N60" s="33">
        <f>IF(L60="","",L60/MAX(L$6:L60)-1)</f>
        <v/>
      </c>
      <c r="O60" s="57">
        <f>IF(H60="","",MIN(H60,0)^2)</f>
        <v/>
      </c>
      <c r="P60" s="58">
        <f>IF(A60="","",YEAR(A60))</f>
        <v/>
      </c>
      <c r="Q60" s="59">
        <f>IF(D60="","",LN(1+D60))</f>
        <v/>
      </c>
      <c r="R60" s="27" t="n"/>
    </row>
    <row r="61">
      <c r="A61" s="43" t="n"/>
      <c r="B61" s="53" t="n"/>
      <c r="C61" s="32">
        <f>IF(A61="","",SUMIFS(Transactions!$J$6:$J$505,Transactions!$B$6:$B$505,"Deposit",Transactions!$A$6:$A$505,"&gt;"&amp;A60,Transactions!$A$6:$A$505,"&lt;="&amp;A61)-SUMIFS(Transactions!$J$6:$J$505,Transactions!$B$6:$B$505,"Withdrawal",Transactions!$A$6:$A$505,"&gt;"&amp;A60,Transactions!$A$6:$A$505,"&lt;="&amp;A61))</f>
        <v/>
      </c>
      <c r="D61" s="54">
        <f>IF(OR(A61="",B61=""),"",IF(B60="","",(B61-B60-C61)/(B60+0.5*C61)))</f>
        <v/>
      </c>
      <c r="E61" s="30" t="n"/>
      <c r="F61" s="54">
        <f>IF(OR(E61="",E60=""),"",E61/E60-1)</f>
        <v/>
      </c>
      <c r="G61" s="55">
        <f>IF(A61="","",Settings!$B$8/12)</f>
        <v/>
      </c>
      <c r="H61" s="54">
        <f>IF(D61="","",D61-G61)</f>
        <v/>
      </c>
      <c r="I61" s="54">
        <f>IF(F61="","",F61-G61)</f>
        <v/>
      </c>
      <c r="J61" s="54">
        <f>IF(OR(D61="",F61=""),"",D61-F61)</f>
        <v/>
      </c>
      <c r="K61" s="56">
        <f>IF(OR(A61="",B61=""),"",IF(D61="",K60,K60*(1+D61)))</f>
        <v/>
      </c>
      <c r="L61" s="56">
        <f>IF(E61="","",IF(F61="",L60,L60*(1+F61)))</f>
        <v/>
      </c>
      <c r="M61" s="33">
        <f>IF(K61="","",K61/MAX(K$6:K61)-1)</f>
        <v/>
      </c>
      <c r="N61" s="33">
        <f>IF(L61="","",L61/MAX(L$6:L61)-1)</f>
        <v/>
      </c>
      <c r="O61" s="57">
        <f>IF(H61="","",MIN(H61,0)^2)</f>
        <v/>
      </c>
      <c r="P61" s="58">
        <f>IF(A61="","",YEAR(A61))</f>
        <v/>
      </c>
      <c r="Q61" s="59">
        <f>IF(D61="","",LN(1+D61))</f>
        <v/>
      </c>
      <c r="R61" s="27" t="n"/>
    </row>
    <row r="62">
      <c r="A62" s="43" t="n"/>
      <c r="B62" s="53" t="n"/>
      <c r="C62" s="32">
        <f>IF(A62="","",SUMIFS(Transactions!$J$6:$J$505,Transactions!$B$6:$B$505,"Deposit",Transactions!$A$6:$A$505,"&gt;"&amp;A61,Transactions!$A$6:$A$505,"&lt;="&amp;A62)-SUMIFS(Transactions!$J$6:$J$505,Transactions!$B$6:$B$505,"Withdrawal",Transactions!$A$6:$A$505,"&gt;"&amp;A61,Transactions!$A$6:$A$505,"&lt;="&amp;A62))</f>
        <v/>
      </c>
      <c r="D62" s="54">
        <f>IF(OR(A62="",B62=""),"",IF(B61="","",(B62-B61-C62)/(B61+0.5*C62)))</f>
        <v/>
      </c>
      <c r="E62" s="30" t="n"/>
      <c r="F62" s="54">
        <f>IF(OR(E62="",E61=""),"",E62/E61-1)</f>
        <v/>
      </c>
      <c r="G62" s="55">
        <f>IF(A62="","",Settings!$B$8/12)</f>
        <v/>
      </c>
      <c r="H62" s="54">
        <f>IF(D62="","",D62-G62)</f>
        <v/>
      </c>
      <c r="I62" s="54">
        <f>IF(F62="","",F62-G62)</f>
        <v/>
      </c>
      <c r="J62" s="54">
        <f>IF(OR(D62="",F62=""),"",D62-F62)</f>
        <v/>
      </c>
      <c r="K62" s="56">
        <f>IF(OR(A62="",B62=""),"",IF(D62="",K61,K61*(1+D62)))</f>
        <v/>
      </c>
      <c r="L62" s="56">
        <f>IF(E62="","",IF(F62="",L61,L61*(1+F62)))</f>
        <v/>
      </c>
      <c r="M62" s="33">
        <f>IF(K62="","",K62/MAX(K$6:K62)-1)</f>
        <v/>
      </c>
      <c r="N62" s="33">
        <f>IF(L62="","",L62/MAX(L$6:L62)-1)</f>
        <v/>
      </c>
      <c r="O62" s="57">
        <f>IF(H62="","",MIN(H62,0)^2)</f>
        <v/>
      </c>
      <c r="P62" s="58">
        <f>IF(A62="","",YEAR(A62))</f>
        <v/>
      </c>
      <c r="Q62" s="59">
        <f>IF(D62="","",LN(1+D62))</f>
        <v/>
      </c>
      <c r="R62" s="27" t="n"/>
    </row>
    <row r="63">
      <c r="A63" s="43" t="n"/>
      <c r="B63" s="53" t="n"/>
      <c r="C63" s="32">
        <f>IF(A63="","",SUMIFS(Transactions!$J$6:$J$505,Transactions!$B$6:$B$505,"Deposit",Transactions!$A$6:$A$505,"&gt;"&amp;A62,Transactions!$A$6:$A$505,"&lt;="&amp;A63)-SUMIFS(Transactions!$J$6:$J$505,Transactions!$B$6:$B$505,"Withdrawal",Transactions!$A$6:$A$505,"&gt;"&amp;A62,Transactions!$A$6:$A$505,"&lt;="&amp;A63))</f>
        <v/>
      </c>
      <c r="D63" s="54">
        <f>IF(OR(A63="",B63=""),"",IF(B62="","",(B63-B62-C63)/(B62+0.5*C63)))</f>
        <v/>
      </c>
      <c r="E63" s="30" t="n"/>
      <c r="F63" s="54">
        <f>IF(OR(E63="",E62=""),"",E63/E62-1)</f>
        <v/>
      </c>
      <c r="G63" s="55">
        <f>IF(A63="","",Settings!$B$8/12)</f>
        <v/>
      </c>
      <c r="H63" s="54">
        <f>IF(D63="","",D63-G63)</f>
        <v/>
      </c>
      <c r="I63" s="54">
        <f>IF(F63="","",F63-G63)</f>
        <v/>
      </c>
      <c r="J63" s="54">
        <f>IF(OR(D63="",F63=""),"",D63-F63)</f>
        <v/>
      </c>
      <c r="K63" s="56">
        <f>IF(OR(A63="",B63=""),"",IF(D63="",K62,K62*(1+D63)))</f>
        <v/>
      </c>
      <c r="L63" s="56">
        <f>IF(E63="","",IF(F63="",L62,L62*(1+F63)))</f>
        <v/>
      </c>
      <c r="M63" s="33">
        <f>IF(K63="","",K63/MAX(K$6:K63)-1)</f>
        <v/>
      </c>
      <c r="N63" s="33">
        <f>IF(L63="","",L63/MAX(L$6:L63)-1)</f>
        <v/>
      </c>
      <c r="O63" s="57">
        <f>IF(H63="","",MIN(H63,0)^2)</f>
        <v/>
      </c>
      <c r="P63" s="58">
        <f>IF(A63="","",YEAR(A63))</f>
        <v/>
      </c>
      <c r="Q63" s="59">
        <f>IF(D63="","",LN(1+D63))</f>
        <v/>
      </c>
      <c r="R63" s="27" t="n"/>
    </row>
    <row r="64">
      <c r="A64" s="43" t="n"/>
      <c r="B64" s="53" t="n"/>
      <c r="C64" s="32">
        <f>IF(A64="","",SUMIFS(Transactions!$J$6:$J$505,Transactions!$B$6:$B$505,"Deposit",Transactions!$A$6:$A$505,"&gt;"&amp;A63,Transactions!$A$6:$A$505,"&lt;="&amp;A64)-SUMIFS(Transactions!$J$6:$J$505,Transactions!$B$6:$B$505,"Withdrawal",Transactions!$A$6:$A$505,"&gt;"&amp;A63,Transactions!$A$6:$A$505,"&lt;="&amp;A64))</f>
        <v/>
      </c>
      <c r="D64" s="54">
        <f>IF(OR(A64="",B64=""),"",IF(B63="","",(B64-B63-C64)/(B63+0.5*C64)))</f>
        <v/>
      </c>
      <c r="E64" s="30" t="n"/>
      <c r="F64" s="54">
        <f>IF(OR(E64="",E63=""),"",E64/E63-1)</f>
        <v/>
      </c>
      <c r="G64" s="55">
        <f>IF(A64="","",Settings!$B$8/12)</f>
        <v/>
      </c>
      <c r="H64" s="54">
        <f>IF(D64="","",D64-G64)</f>
        <v/>
      </c>
      <c r="I64" s="54">
        <f>IF(F64="","",F64-G64)</f>
        <v/>
      </c>
      <c r="J64" s="54">
        <f>IF(OR(D64="",F64=""),"",D64-F64)</f>
        <v/>
      </c>
      <c r="K64" s="56">
        <f>IF(OR(A64="",B64=""),"",IF(D64="",K63,K63*(1+D64)))</f>
        <v/>
      </c>
      <c r="L64" s="56">
        <f>IF(E64="","",IF(F64="",L63,L63*(1+F64)))</f>
        <v/>
      </c>
      <c r="M64" s="33">
        <f>IF(K64="","",K64/MAX(K$6:K64)-1)</f>
        <v/>
      </c>
      <c r="N64" s="33">
        <f>IF(L64="","",L64/MAX(L$6:L64)-1)</f>
        <v/>
      </c>
      <c r="O64" s="57">
        <f>IF(H64="","",MIN(H64,0)^2)</f>
        <v/>
      </c>
      <c r="P64" s="58">
        <f>IF(A64="","",YEAR(A64))</f>
        <v/>
      </c>
      <c r="Q64" s="59">
        <f>IF(D64="","",LN(1+D64))</f>
        <v/>
      </c>
      <c r="R64" s="27" t="n"/>
    </row>
    <row r="65">
      <c r="A65" s="43" t="n"/>
      <c r="B65" s="53" t="n"/>
      <c r="C65" s="32">
        <f>IF(A65="","",SUMIFS(Transactions!$J$6:$J$505,Transactions!$B$6:$B$505,"Deposit",Transactions!$A$6:$A$505,"&gt;"&amp;A64,Transactions!$A$6:$A$505,"&lt;="&amp;A65)-SUMIFS(Transactions!$J$6:$J$505,Transactions!$B$6:$B$505,"Withdrawal",Transactions!$A$6:$A$505,"&gt;"&amp;A64,Transactions!$A$6:$A$505,"&lt;="&amp;A65))</f>
        <v/>
      </c>
      <c r="D65" s="54">
        <f>IF(OR(A65="",B65=""),"",IF(B64="","",(B65-B64-C65)/(B64+0.5*C65)))</f>
        <v/>
      </c>
      <c r="E65" s="30" t="n"/>
      <c r="F65" s="54">
        <f>IF(OR(E65="",E64=""),"",E65/E64-1)</f>
        <v/>
      </c>
      <c r="G65" s="55">
        <f>IF(A65="","",Settings!$B$8/12)</f>
        <v/>
      </c>
      <c r="H65" s="54">
        <f>IF(D65="","",D65-G65)</f>
        <v/>
      </c>
      <c r="I65" s="54">
        <f>IF(F65="","",F65-G65)</f>
        <v/>
      </c>
      <c r="J65" s="54">
        <f>IF(OR(D65="",F65=""),"",D65-F65)</f>
        <v/>
      </c>
      <c r="K65" s="56">
        <f>IF(OR(A65="",B65=""),"",IF(D65="",K64,K64*(1+D65)))</f>
        <v/>
      </c>
      <c r="L65" s="56">
        <f>IF(E65="","",IF(F65="",L64,L64*(1+F65)))</f>
        <v/>
      </c>
      <c r="M65" s="33">
        <f>IF(K65="","",K65/MAX(K$6:K65)-1)</f>
        <v/>
      </c>
      <c r="N65" s="33">
        <f>IF(L65="","",L65/MAX(L$6:L65)-1)</f>
        <v/>
      </c>
      <c r="O65" s="57">
        <f>IF(H65="","",MIN(H65,0)^2)</f>
        <v/>
      </c>
      <c r="P65" s="58">
        <f>IF(A65="","",YEAR(A65))</f>
        <v/>
      </c>
      <c r="Q65" s="59">
        <f>IF(D65="","",LN(1+D65))</f>
        <v/>
      </c>
      <c r="R65" s="27" t="n"/>
    </row>
    <row r="66">
      <c r="A66" s="43" t="n"/>
      <c r="B66" s="53" t="n"/>
      <c r="C66" s="32">
        <f>IF(A66="","",SUMIFS(Transactions!$J$6:$J$505,Transactions!$B$6:$B$505,"Deposit",Transactions!$A$6:$A$505,"&gt;"&amp;A65,Transactions!$A$6:$A$505,"&lt;="&amp;A66)-SUMIFS(Transactions!$J$6:$J$505,Transactions!$B$6:$B$505,"Withdrawal",Transactions!$A$6:$A$505,"&gt;"&amp;A65,Transactions!$A$6:$A$505,"&lt;="&amp;A66))</f>
        <v/>
      </c>
      <c r="D66" s="54">
        <f>IF(OR(A66="",B66=""),"",IF(B65="","",(B66-B65-C66)/(B65+0.5*C66)))</f>
        <v/>
      </c>
      <c r="E66" s="30" t="n"/>
      <c r="F66" s="54">
        <f>IF(OR(E66="",E65=""),"",E66/E65-1)</f>
        <v/>
      </c>
      <c r="G66" s="55">
        <f>IF(A66="","",Settings!$B$8/12)</f>
        <v/>
      </c>
      <c r="H66" s="54">
        <f>IF(D66="","",D66-G66)</f>
        <v/>
      </c>
      <c r="I66" s="54">
        <f>IF(F66="","",F66-G66)</f>
        <v/>
      </c>
      <c r="J66" s="54">
        <f>IF(OR(D66="",F66=""),"",D66-F66)</f>
        <v/>
      </c>
      <c r="K66" s="56">
        <f>IF(OR(A66="",B66=""),"",IF(D66="",K65,K65*(1+D66)))</f>
        <v/>
      </c>
      <c r="L66" s="56">
        <f>IF(E66="","",IF(F66="",L65,L65*(1+F66)))</f>
        <v/>
      </c>
      <c r="M66" s="33">
        <f>IF(K66="","",K66/MAX(K$6:K66)-1)</f>
        <v/>
      </c>
      <c r="N66" s="33">
        <f>IF(L66="","",L66/MAX(L$6:L66)-1)</f>
        <v/>
      </c>
      <c r="O66" s="57">
        <f>IF(H66="","",MIN(H66,0)^2)</f>
        <v/>
      </c>
      <c r="P66" s="58">
        <f>IF(A66="","",YEAR(A66))</f>
        <v/>
      </c>
      <c r="Q66" s="59">
        <f>IF(D66="","",LN(1+D66))</f>
        <v/>
      </c>
      <c r="R66" s="27" t="n"/>
    </row>
    <row r="67">
      <c r="A67" s="43" t="n"/>
      <c r="B67" s="53" t="n"/>
      <c r="C67" s="32">
        <f>IF(A67="","",SUMIFS(Transactions!$J$6:$J$505,Transactions!$B$6:$B$505,"Deposit",Transactions!$A$6:$A$505,"&gt;"&amp;A66,Transactions!$A$6:$A$505,"&lt;="&amp;A67)-SUMIFS(Transactions!$J$6:$J$505,Transactions!$B$6:$B$505,"Withdrawal",Transactions!$A$6:$A$505,"&gt;"&amp;A66,Transactions!$A$6:$A$505,"&lt;="&amp;A67))</f>
        <v/>
      </c>
      <c r="D67" s="54">
        <f>IF(OR(A67="",B67=""),"",IF(B66="","",(B67-B66-C67)/(B66+0.5*C67)))</f>
        <v/>
      </c>
      <c r="E67" s="30" t="n"/>
      <c r="F67" s="54">
        <f>IF(OR(E67="",E66=""),"",E67/E66-1)</f>
        <v/>
      </c>
      <c r="G67" s="55">
        <f>IF(A67="","",Settings!$B$8/12)</f>
        <v/>
      </c>
      <c r="H67" s="54">
        <f>IF(D67="","",D67-G67)</f>
        <v/>
      </c>
      <c r="I67" s="54">
        <f>IF(F67="","",F67-G67)</f>
        <v/>
      </c>
      <c r="J67" s="54">
        <f>IF(OR(D67="",F67=""),"",D67-F67)</f>
        <v/>
      </c>
      <c r="K67" s="56">
        <f>IF(OR(A67="",B67=""),"",IF(D67="",K66,K66*(1+D67)))</f>
        <v/>
      </c>
      <c r="L67" s="56">
        <f>IF(E67="","",IF(F67="",L66,L66*(1+F67)))</f>
        <v/>
      </c>
      <c r="M67" s="33">
        <f>IF(K67="","",K67/MAX(K$6:K67)-1)</f>
        <v/>
      </c>
      <c r="N67" s="33">
        <f>IF(L67="","",L67/MAX(L$6:L67)-1)</f>
        <v/>
      </c>
      <c r="O67" s="57">
        <f>IF(H67="","",MIN(H67,0)^2)</f>
        <v/>
      </c>
      <c r="P67" s="58">
        <f>IF(A67="","",YEAR(A67))</f>
        <v/>
      </c>
      <c r="Q67" s="59">
        <f>IF(D67="","",LN(1+D67))</f>
        <v/>
      </c>
      <c r="R67" s="27" t="n"/>
    </row>
    <row r="68">
      <c r="A68" s="43" t="n"/>
      <c r="B68" s="53" t="n"/>
      <c r="C68" s="32">
        <f>IF(A68="","",SUMIFS(Transactions!$J$6:$J$505,Transactions!$B$6:$B$505,"Deposit",Transactions!$A$6:$A$505,"&gt;"&amp;A67,Transactions!$A$6:$A$505,"&lt;="&amp;A68)-SUMIFS(Transactions!$J$6:$J$505,Transactions!$B$6:$B$505,"Withdrawal",Transactions!$A$6:$A$505,"&gt;"&amp;A67,Transactions!$A$6:$A$505,"&lt;="&amp;A68))</f>
        <v/>
      </c>
      <c r="D68" s="54">
        <f>IF(OR(A68="",B68=""),"",IF(B67="","",(B68-B67-C68)/(B67+0.5*C68)))</f>
        <v/>
      </c>
      <c r="E68" s="30" t="n"/>
      <c r="F68" s="54">
        <f>IF(OR(E68="",E67=""),"",E68/E67-1)</f>
        <v/>
      </c>
      <c r="G68" s="55">
        <f>IF(A68="","",Settings!$B$8/12)</f>
        <v/>
      </c>
      <c r="H68" s="54">
        <f>IF(D68="","",D68-G68)</f>
        <v/>
      </c>
      <c r="I68" s="54">
        <f>IF(F68="","",F68-G68)</f>
        <v/>
      </c>
      <c r="J68" s="54">
        <f>IF(OR(D68="",F68=""),"",D68-F68)</f>
        <v/>
      </c>
      <c r="K68" s="56">
        <f>IF(OR(A68="",B68=""),"",IF(D68="",K67,K67*(1+D68)))</f>
        <v/>
      </c>
      <c r="L68" s="56">
        <f>IF(E68="","",IF(F68="",L67,L67*(1+F68)))</f>
        <v/>
      </c>
      <c r="M68" s="33">
        <f>IF(K68="","",K68/MAX(K$6:K68)-1)</f>
        <v/>
      </c>
      <c r="N68" s="33">
        <f>IF(L68="","",L68/MAX(L$6:L68)-1)</f>
        <v/>
      </c>
      <c r="O68" s="57">
        <f>IF(H68="","",MIN(H68,0)^2)</f>
        <v/>
      </c>
      <c r="P68" s="58">
        <f>IF(A68="","",YEAR(A68))</f>
        <v/>
      </c>
      <c r="Q68" s="59">
        <f>IF(D68="","",LN(1+D68))</f>
        <v/>
      </c>
      <c r="R68" s="27" t="n"/>
    </row>
    <row r="69">
      <c r="A69" s="43" t="n"/>
      <c r="B69" s="53" t="n"/>
      <c r="C69" s="32">
        <f>IF(A69="","",SUMIFS(Transactions!$J$6:$J$505,Transactions!$B$6:$B$505,"Deposit",Transactions!$A$6:$A$505,"&gt;"&amp;A68,Transactions!$A$6:$A$505,"&lt;="&amp;A69)-SUMIFS(Transactions!$J$6:$J$505,Transactions!$B$6:$B$505,"Withdrawal",Transactions!$A$6:$A$505,"&gt;"&amp;A68,Transactions!$A$6:$A$505,"&lt;="&amp;A69))</f>
        <v/>
      </c>
      <c r="D69" s="54">
        <f>IF(OR(A69="",B69=""),"",IF(B68="","",(B69-B68-C69)/(B68+0.5*C69)))</f>
        <v/>
      </c>
      <c r="E69" s="30" t="n"/>
      <c r="F69" s="54">
        <f>IF(OR(E69="",E68=""),"",E69/E68-1)</f>
        <v/>
      </c>
      <c r="G69" s="55">
        <f>IF(A69="","",Settings!$B$8/12)</f>
        <v/>
      </c>
      <c r="H69" s="54">
        <f>IF(D69="","",D69-G69)</f>
        <v/>
      </c>
      <c r="I69" s="54">
        <f>IF(F69="","",F69-G69)</f>
        <v/>
      </c>
      <c r="J69" s="54">
        <f>IF(OR(D69="",F69=""),"",D69-F69)</f>
        <v/>
      </c>
      <c r="K69" s="56">
        <f>IF(OR(A69="",B69=""),"",IF(D69="",K68,K68*(1+D69)))</f>
        <v/>
      </c>
      <c r="L69" s="56">
        <f>IF(E69="","",IF(F69="",L68,L68*(1+F69)))</f>
        <v/>
      </c>
      <c r="M69" s="33">
        <f>IF(K69="","",K69/MAX(K$6:K69)-1)</f>
        <v/>
      </c>
      <c r="N69" s="33">
        <f>IF(L69="","",L69/MAX(L$6:L69)-1)</f>
        <v/>
      </c>
      <c r="O69" s="57">
        <f>IF(H69="","",MIN(H69,0)^2)</f>
        <v/>
      </c>
      <c r="P69" s="58">
        <f>IF(A69="","",YEAR(A69))</f>
        <v/>
      </c>
      <c r="Q69" s="59">
        <f>IF(D69="","",LN(1+D69))</f>
        <v/>
      </c>
      <c r="R69" s="27" t="n"/>
    </row>
    <row r="70">
      <c r="A70" s="43" t="n"/>
      <c r="B70" s="53" t="n"/>
      <c r="C70" s="32">
        <f>IF(A70="","",SUMIFS(Transactions!$J$6:$J$505,Transactions!$B$6:$B$505,"Deposit",Transactions!$A$6:$A$505,"&gt;"&amp;A69,Transactions!$A$6:$A$505,"&lt;="&amp;A70)-SUMIFS(Transactions!$J$6:$J$505,Transactions!$B$6:$B$505,"Withdrawal",Transactions!$A$6:$A$505,"&gt;"&amp;A69,Transactions!$A$6:$A$505,"&lt;="&amp;A70))</f>
        <v/>
      </c>
      <c r="D70" s="54">
        <f>IF(OR(A70="",B70=""),"",IF(B69="","",(B70-B69-C70)/(B69+0.5*C70)))</f>
        <v/>
      </c>
      <c r="E70" s="30" t="n"/>
      <c r="F70" s="54">
        <f>IF(OR(E70="",E69=""),"",E70/E69-1)</f>
        <v/>
      </c>
      <c r="G70" s="55">
        <f>IF(A70="","",Settings!$B$8/12)</f>
        <v/>
      </c>
      <c r="H70" s="54">
        <f>IF(D70="","",D70-G70)</f>
        <v/>
      </c>
      <c r="I70" s="54">
        <f>IF(F70="","",F70-G70)</f>
        <v/>
      </c>
      <c r="J70" s="54">
        <f>IF(OR(D70="",F70=""),"",D70-F70)</f>
        <v/>
      </c>
      <c r="K70" s="56">
        <f>IF(OR(A70="",B70=""),"",IF(D70="",K69,K69*(1+D70)))</f>
        <v/>
      </c>
      <c r="L70" s="56">
        <f>IF(E70="","",IF(F70="",L69,L69*(1+F70)))</f>
        <v/>
      </c>
      <c r="M70" s="33">
        <f>IF(K70="","",K70/MAX(K$6:K70)-1)</f>
        <v/>
      </c>
      <c r="N70" s="33">
        <f>IF(L70="","",L70/MAX(L$6:L70)-1)</f>
        <v/>
      </c>
      <c r="O70" s="57">
        <f>IF(H70="","",MIN(H70,0)^2)</f>
        <v/>
      </c>
      <c r="P70" s="58">
        <f>IF(A70="","",YEAR(A70))</f>
        <v/>
      </c>
      <c r="Q70" s="59">
        <f>IF(D70="","",LN(1+D70))</f>
        <v/>
      </c>
      <c r="R70" s="27" t="n"/>
    </row>
    <row r="71">
      <c r="A71" s="43" t="n"/>
      <c r="B71" s="53" t="n"/>
      <c r="C71" s="32">
        <f>IF(A71="","",SUMIFS(Transactions!$J$6:$J$505,Transactions!$B$6:$B$505,"Deposit",Transactions!$A$6:$A$505,"&gt;"&amp;A70,Transactions!$A$6:$A$505,"&lt;="&amp;A71)-SUMIFS(Transactions!$J$6:$J$505,Transactions!$B$6:$B$505,"Withdrawal",Transactions!$A$6:$A$505,"&gt;"&amp;A70,Transactions!$A$6:$A$505,"&lt;="&amp;A71))</f>
        <v/>
      </c>
      <c r="D71" s="54">
        <f>IF(OR(A71="",B71=""),"",IF(B70="","",(B71-B70-C71)/(B70+0.5*C71)))</f>
        <v/>
      </c>
      <c r="E71" s="30" t="n"/>
      <c r="F71" s="54">
        <f>IF(OR(E71="",E70=""),"",E71/E70-1)</f>
        <v/>
      </c>
      <c r="G71" s="55">
        <f>IF(A71="","",Settings!$B$8/12)</f>
        <v/>
      </c>
      <c r="H71" s="54">
        <f>IF(D71="","",D71-G71)</f>
        <v/>
      </c>
      <c r="I71" s="54">
        <f>IF(F71="","",F71-G71)</f>
        <v/>
      </c>
      <c r="J71" s="54">
        <f>IF(OR(D71="",F71=""),"",D71-F71)</f>
        <v/>
      </c>
      <c r="K71" s="56">
        <f>IF(OR(A71="",B71=""),"",IF(D71="",K70,K70*(1+D71)))</f>
        <v/>
      </c>
      <c r="L71" s="56">
        <f>IF(E71="","",IF(F71="",L70,L70*(1+F71)))</f>
        <v/>
      </c>
      <c r="M71" s="33">
        <f>IF(K71="","",K71/MAX(K$6:K71)-1)</f>
        <v/>
      </c>
      <c r="N71" s="33">
        <f>IF(L71="","",L71/MAX(L$6:L71)-1)</f>
        <v/>
      </c>
      <c r="O71" s="57">
        <f>IF(H71="","",MIN(H71,0)^2)</f>
        <v/>
      </c>
      <c r="P71" s="58">
        <f>IF(A71="","",YEAR(A71))</f>
        <v/>
      </c>
      <c r="Q71" s="59">
        <f>IF(D71="","",LN(1+D71))</f>
        <v/>
      </c>
      <c r="R71" s="27" t="n"/>
    </row>
    <row r="72">
      <c r="A72" s="43" t="n"/>
      <c r="B72" s="53" t="n"/>
      <c r="C72" s="32">
        <f>IF(A72="","",SUMIFS(Transactions!$J$6:$J$505,Transactions!$B$6:$B$505,"Deposit",Transactions!$A$6:$A$505,"&gt;"&amp;A71,Transactions!$A$6:$A$505,"&lt;="&amp;A72)-SUMIFS(Transactions!$J$6:$J$505,Transactions!$B$6:$B$505,"Withdrawal",Transactions!$A$6:$A$505,"&gt;"&amp;A71,Transactions!$A$6:$A$505,"&lt;="&amp;A72))</f>
        <v/>
      </c>
      <c r="D72" s="54">
        <f>IF(OR(A72="",B72=""),"",IF(B71="","",(B72-B71-C72)/(B71+0.5*C72)))</f>
        <v/>
      </c>
      <c r="E72" s="30" t="n"/>
      <c r="F72" s="54">
        <f>IF(OR(E72="",E71=""),"",E72/E71-1)</f>
        <v/>
      </c>
      <c r="G72" s="55">
        <f>IF(A72="","",Settings!$B$8/12)</f>
        <v/>
      </c>
      <c r="H72" s="54">
        <f>IF(D72="","",D72-G72)</f>
        <v/>
      </c>
      <c r="I72" s="54">
        <f>IF(F72="","",F72-G72)</f>
        <v/>
      </c>
      <c r="J72" s="54">
        <f>IF(OR(D72="",F72=""),"",D72-F72)</f>
        <v/>
      </c>
      <c r="K72" s="56">
        <f>IF(OR(A72="",B72=""),"",IF(D72="",K71,K71*(1+D72)))</f>
        <v/>
      </c>
      <c r="L72" s="56">
        <f>IF(E72="","",IF(F72="",L71,L71*(1+F72)))</f>
        <v/>
      </c>
      <c r="M72" s="33">
        <f>IF(K72="","",K72/MAX(K$6:K72)-1)</f>
        <v/>
      </c>
      <c r="N72" s="33">
        <f>IF(L72="","",L72/MAX(L$6:L72)-1)</f>
        <v/>
      </c>
      <c r="O72" s="57">
        <f>IF(H72="","",MIN(H72,0)^2)</f>
        <v/>
      </c>
      <c r="P72" s="58">
        <f>IF(A72="","",YEAR(A72))</f>
        <v/>
      </c>
      <c r="Q72" s="59">
        <f>IF(D72="","",LN(1+D72))</f>
        <v/>
      </c>
      <c r="R72" s="27" t="n"/>
    </row>
    <row r="73">
      <c r="A73" s="43" t="n"/>
      <c r="B73" s="53" t="n"/>
      <c r="C73" s="32">
        <f>IF(A73="","",SUMIFS(Transactions!$J$6:$J$505,Transactions!$B$6:$B$505,"Deposit",Transactions!$A$6:$A$505,"&gt;"&amp;A72,Transactions!$A$6:$A$505,"&lt;="&amp;A73)-SUMIFS(Transactions!$J$6:$J$505,Transactions!$B$6:$B$505,"Withdrawal",Transactions!$A$6:$A$505,"&gt;"&amp;A72,Transactions!$A$6:$A$505,"&lt;="&amp;A73))</f>
        <v/>
      </c>
      <c r="D73" s="54">
        <f>IF(OR(A73="",B73=""),"",IF(B72="","",(B73-B72-C73)/(B72+0.5*C73)))</f>
        <v/>
      </c>
      <c r="E73" s="30" t="n"/>
      <c r="F73" s="54">
        <f>IF(OR(E73="",E72=""),"",E73/E72-1)</f>
        <v/>
      </c>
      <c r="G73" s="55">
        <f>IF(A73="","",Settings!$B$8/12)</f>
        <v/>
      </c>
      <c r="H73" s="54">
        <f>IF(D73="","",D73-G73)</f>
        <v/>
      </c>
      <c r="I73" s="54">
        <f>IF(F73="","",F73-G73)</f>
        <v/>
      </c>
      <c r="J73" s="54">
        <f>IF(OR(D73="",F73=""),"",D73-F73)</f>
        <v/>
      </c>
      <c r="K73" s="56">
        <f>IF(OR(A73="",B73=""),"",IF(D73="",K72,K72*(1+D73)))</f>
        <v/>
      </c>
      <c r="L73" s="56">
        <f>IF(E73="","",IF(F73="",L72,L72*(1+F73)))</f>
        <v/>
      </c>
      <c r="M73" s="33">
        <f>IF(K73="","",K73/MAX(K$6:K73)-1)</f>
        <v/>
      </c>
      <c r="N73" s="33">
        <f>IF(L73="","",L73/MAX(L$6:L73)-1)</f>
        <v/>
      </c>
      <c r="O73" s="57">
        <f>IF(H73="","",MIN(H73,0)^2)</f>
        <v/>
      </c>
      <c r="P73" s="58">
        <f>IF(A73="","",YEAR(A73))</f>
        <v/>
      </c>
      <c r="Q73" s="59">
        <f>IF(D73="","",LN(1+D73))</f>
        <v/>
      </c>
      <c r="R73" s="27" t="n"/>
    </row>
    <row r="74">
      <c r="A74" s="43" t="n"/>
      <c r="B74" s="53" t="n"/>
      <c r="C74" s="32">
        <f>IF(A74="","",SUMIFS(Transactions!$J$6:$J$505,Transactions!$B$6:$B$505,"Deposit",Transactions!$A$6:$A$505,"&gt;"&amp;A73,Transactions!$A$6:$A$505,"&lt;="&amp;A74)-SUMIFS(Transactions!$J$6:$J$505,Transactions!$B$6:$B$505,"Withdrawal",Transactions!$A$6:$A$505,"&gt;"&amp;A73,Transactions!$A$6:$A$505,"&lt;="&amp;A74))</f>
        <v/>
      </c>
      <c r="D74" s="54">
        <f>IF(OR(A74="",B74=""),"",IF(B73="","",(B74-B73-C74)/(B73+0.5*C74)))</f>
        <v/>
      </c>
      <c r="E74" s="30" t="n"/>
      <c r="F74" s="54">
        <f>IF(OR(E74="",E73=""),"",E74/E73-1)</f>
        <v/>
      </c>
      <c r="G74" s="55">
        <f>IF(A74="","",Settings!$B$8/12)</f>
        <v/>
      </c>
      <c r="H74" s="54">
        <f>IF(D74="","",D74-G74)</f>
        <v/>
      </c>
      <c r="I74" s="54">
        <f>IF(F74="","",F74-G74)</f>
        <v/>
      </c>
      <c r="J74" s="54">
        <f>IF(OR(D74="",F74=""),"",D74-F74)</f>
        <v/>
      </c>
      <c r="K74" s="56">
        <f>IF(OR(A74="",B74=""),"",IF(D74="",K73,K73*(1+D74)))</f>
        <v/>
      </c>
      <c r="L74" s="56">
        <f>IF(E74="","",IF(F74="",L73,L73*(1+F74)))</f>
        <v/>
      </c>
      <c r="M74" s="33">
        <f>IF(K74="","",K74/MAX(K$6:K74)-1)</f>
        <v/>
      </c>
      <c r="N74" s="33">
        <f>IF(L74="","",L74/MAX(L$6:L74)-1)</f>
        <v/>
      </c>
      <c r="O74" s="57">
        <f>IF(H74="","",MIN(H74,0)^2)</f>
        <v/>
      </c>
      <c r="P74" s="58">
        <f>IF(A74="","",YEAR(A74))</f>
        <v/>
      </c>
      <c r="Q74" s="59">
        <f>IF(D74="","",LN(1+D74))</f>
        <v/>
      </c>
      <c r="R74" s="27" t="n"/>
    </row>
    <row r="75">
      <c r="A75" s="43" t="n"/>
      <c r="B75" s="53" t="n"/>
      <c r="C75" s="32">
        <f>IF(A75="","",SUMIFS(Transactions!$J$6:$J$505,Transactions!$B$6:$B$505,"Deposit",Transactions!$A$6:$A$505,"&gt;"&amp;A74,Transactions!$A$6:$A$505,"&lt;="&amp;A75)-SUMIFS(Transactions!$J$6:$J$505,Transactions!$B$6:$B$505,"Withdrawal",Transactions!$A$6:$A$505,"&gt;"&amp;A74,Transactions!$A$6:$A$505,"&lt;="&amp;A75))</f>
        <v/>
      </c>
      <c r="D75" s="54">
        <f>IF(OR(A75="",B75=""),"",IF(B74="","",(B75-B74-C75)/(B74+0.5*C75)))</f>
        <v/>
      </c>
      <c r="E75" s="30" t="n"/>
      <c r="F75" s="54">
        <f>IF(OR(E75="",E74=""),"",E75/E74-1)</f>
        <v/>
      </c>
      <c r="G75" s="55">
        <f>IF(A75="","",Settings!$B$8/12)</f>
        <v/>
      </c>
      <c r="H75" s="54">
        <f>IF(D75="","",D75-G75)</f>
        <v/>
      </c>
      <c r="I75" s="54">
        <f>IF(F75="","",F75-G75)</f>
        <v/>
      </c>
      <c r="J75" s="54">
        <f>IF(OR(D75="",F75=""),"",D75-F75)</f>
        <v/>
      </c>
      <c r="K75" s="56">
        <f>IF(OR(A75="",B75=""),"",IF(D75="",K74,K74*(1+D75)))</f>
        <v/>
      </c>
      <c r="L75" s="56">
        <f>IF(E75="","",IF(F75="",L74,L74*(1+F75)))</f>
        <v/>
      </c>
      <c r="M75" s="33">
        <f>IF(K75="","",K75/MAX(K$6:K75)-1)</f>
        <v/>
      </c>
      <c r="N75" s="33">
        <f>IF(L75="","",L75/MAX(L$6:L75)-1)</f>
        <v/>
      </c>
      <c r="O75" s="57">
        <f>IF(H75="","",MIN(H75,0)^2)</f>
        <v/>
      </c>
      <c r="P75" s="58">
        <f>IF(A75="","",YEAR(A75))</f>
        <v/>
      </c>
      <c r="Q75" s="59">
        <f>IF(D75="","",LN(1+D75))</f>
        <v/>
      </c>
      <c r="R75" s="27" t="n"/>
    </row>
    <row r="76">
      <c r="A76" s="43" t="n"/>
      <c r="B76" s="53" t="n"/>
      <c r="C76" s="32">
        <f>IF(A76="","",SUMIFS(Transactions!$J$6:$J$505,Transactions!$B$6:$B$505,"Deposit",Transactions!$A$6:$A$505,"&gt;"&amp;A75,Transactions!$A$6:$A$505,"&lt;="&amp;A76)-SUMIFS(Transactions!$J$6:$J$505,Transactions!$B$6:$B$505,"Withdrawal",Transactions!$A$6:$A$505,"&gt;"&amp;A75,Transactions!$A$6:$A$505,"&lt;="&amp;A76))</f>
        <v/>
      </c>
      <c r="D76" s="54">
        <f>IF(OR(A76="",B76=""),"",IF(B75="","",(B76-B75-C76)/(B75+0.5*C76)))</f>
        <v/>
      </c>
      <c r="E76" s="30" t="n"/>
      <c r="F76" s="54">
        <f>IF(OR(E76="",E75=""),"",E76/E75-1)</f>
        <v/>
      </c>
      <c r="G76" s="55">
        <f>IF(A76="","",Settings!$B$8/12)</f>
        <v/>
      </c>
      <c r="H76" s="54">
        <f>IF(D76="","",D76-G76)</f>
        <v/>
      </c>
      <c r="I76" s="54">
        <f>IF(F76="","",F76-G76)</f>
        <v/>
      </c>
      <c r="J76" s="54">
        <f>IF(OR(D76="",F76=""),"",D76-F76)</f>
        <v/>
      </c>
      <c r="K76" s="56">
        <f>IF(OR(A76="",B76=""),"",IF(D76="",K75,K75*(1+D76)))</f>
        <v/>
      </c>
      <c r="L76" s="56">
        <f>IF(E76="","",IF(F76="",L75,L75*(1+F76)))</f>
        <v/>
      </c>
      <c r="M76" s="33">
        <f>IF(K76="","",K76/MAX(K$6:K76)-1)</f>
        <v/>
      </c>
      <c r="N76" s="33">
        <f>IF(L76="","",L76/MAX(L$6:L76)-1)</f>
        <v/>
      </c>
      <c r="O76" s="57">
        <f>IF(H76="","",MIN(H76,0)^2)</f>
        <v/>
      </c>
      <c r="P76" s="58">
        <f>IF(A76="","",YEAR(A76))</f>
        <v/>
      </c>
      <c r="Q76" s="59">
        <f>IF(D76="","",LN(1+D76))</f>
        <v/>
      </c>
      <c r="R76" s="27" t="n"/>
    </row>
    <row r="77">
      <c r="A77" s="43" t="n"/>
      <c r="B77" s="53" t="n"/>
      <c r="C77" s="32">
        <f>IF(A77="","",SUMIFS(Transactions!$J$6:$J$505,Transactions!$B$6:$B$505,"Deposit",Transactions!$A$6:$A$505,"&gt;"&amp;A76,Transactions!$A$6:$A$505,"&lt;="&amp;A77)-SUMIFS(Transactions!$J$6:$J$505,Transactions!$B$6:$B$505,"Withdrawal",Transactions!$A$6:$A$505,"&gt;"&amp;A76,Transactions!$A$6:$A$505,"&lt;="&amp;A77))</f>
        <v/>
      </c>
      <c r="D77" s="54">
        <f>IF(OR(A77="",B77=""),"",IF(B76="","",(B77-B76-C77)/(B76+0.5*C77)))</f>
        <v/>
      </c>
      <c r="E77" s="30" t="n"/>
      <c r="F77" s="54">
        <f>IF(OR(E77="",E76=""),"",E77/E76-1)</f>
        <v/>
      </c>
      <c r="G77" s="55">
        <f>IF(A77="","",Settings!$B$8/12)</f>
        <v/>
      </c>
      <c r="H77" s="54">
        <f>IF(D77="","",D77-G77)</f>
        <v/>
      </c>
      <c r="I77" s="54">
        <f>IF(F77="","",F77-G77)</f>
        <v/>
      </c>
      <c r="J77" s="54">
        <f>IF(OR(D77="",F77=""),"",D77-F77)</f>
        <v/>
      </c>
      <c r="K77" s="56">
        <f>IF(OR(A77="",B77=""),"",IF(D77="",K76,K76*(1+D77)))</f>
        <v/>
      </c>
      <c r="L77" s="56">
        <f>IF(E77="","",IF(F77="",L76,L76*(1+F77)))</f>
        <v/>
      </c>
      <c r="M77" s="33">
        <f>IF(K77="","",K77/MAX(K$6:K77)-1)</f>
        <v/>
      </c>
      <c r="N77" s="33">
        <f>IF(L77="","",L77/MAX(L$6:L77)-1)</f>
        <v/>
      </c>
      <c r="O77" s="57">
        <f>IF(H77="","",MIN(H77,0)^2)</f>
        <v/>
      </c>
      <c r="P77" s="58">
        <f>IF(A77="","",YEAR(A77))</f>
        <v/>
      </c>
      <c r="Q77" s="59">
        <f>IF(D77="","",LN(1+D77))</f>
        <v/>
      </c>
      <c r="R77" s="27" t="n"/>
    </row>
    <row r="78">
      <c r="A78" s="43" t="n"/>
      <c r="B78" s="53" t="n"/>
      <c r="C78" s="32">
        <f>IF(A78="","",SUMIFS(Transactions!$J$6:$J$505,Transactions!$B$6:$B$505,"Deposit",Transactions!$A$6:$A$505,"&gt;"&amp;A77,Transactions!$A$6:$A$505,"&lt;="&amp;A78)-SUMIFS(Transactions!$J$6:$J$505,Transactions!$B$6:$B$505,"Withdrawal",Transactions!$A$6:$A$505,"&gt;"&amp;A77,Transactions!$A$6:$A$505,"&lt;="&amp;A78))</f>
        <v/>
      </c>
      <c r="D78" s="54">
        <f>IF(OR(A78="",B78=""),"",IF(B77="","",(B78-B77-C78)/(B77+0.5*C78)))</f>
        <v/>
      </c>
      <c r="E78" s="30" t="n"/>
      <c r="F78" s="54">
        <f>IF(OR(E78="",E77=""),"",E78/E77-1)</f>
        <v/>
      </c>
      <c r="G78" s="55">
        <f>IF(A78="","",Settings!$B$8/12)</f>
        <v/>
      </c>
      <c r="H78" s="54">
        <f>IF(D78="","",D78-G78)</f>
        <v/>
      </c>
      <c r="I78" s="54">
        <f>IF(F78="","",F78-G78)</f>
        <v/>
      </c>
      <c r="J78" s="54">
        <f>IF(OR(D78="",F78=""),"",D78-F78)</f>
        <v/>
      </c>
      <c r="K78" s="56">
        <f>IF(OR(A78="",B78=""),"",IF(D78="",K77,K77*(1+D78)))</f>
        <v/>
      </c>
      <c r="L78" s="56">
        <f>IF(E78="","",IF(F78="",L77,L77*(1+F78)))</f>
        <v/>
      </c>
      <c r="M78" s="33">
        <f>IF(K78="","",K78/MAX(K$6:K78)-1)</f>
        <v/>
      </c>
      <c r="N78" s="33">
        <f>IF(L78="","",L78/MAX(L$6:L78)-1)</f>
        <v/>
      </c>
      <c r="O78" s="57">
        <f>IF(H78="","",MIN(H78,0)^2)</f>
        <v/>
      </c>
      <c r="P78" s="58">
        <f>IF(A78="","",YEAR(A78))</f>
        <v/>
      </c>
      <c r="Q78" s="59">
        <f>IF(D78="","",LN(1+D78))</f>
        <v/>
      </c>
      <c r="R78" s="27" t="n"/>
    </row>
    <row r="79">
      <c r="A79" s="43" t="n"/>
      <c r="B79" s="53" t="n"/>
      <c r="C79" s="32">
        <f>IF(A79="","",SUMIFS(Transactions!$J$6:$J$505,Transactions!$B$6:$B$505,"Deposit",Transactions!$A$6:$A$505,"&gt;"&amp;A78,Transactions!$A$6:$A$505,"&lt;="&amp;A79)-SUMIFS(Transactions!$J$6:$J$505,Transactions!$B$6:$B$505,"Withdrawal",Transactions!$A$6:$A$505,"&gt;"&amp;A78,Transactions!$A$6:$A$505,"&lt;="&amp;A79))</f>
        <v/>
      </c>
      <c r="D79" s="54">
        <f>IF(OR(A79="",B79=""),"",IF(B78="","",(B79-B78-C79)/(B78+0.5*C79)))</f>
        <v/>
      </c>
      <c r="E79" s="30" t="n"/>
      <c r="F79" s="54">
        <f>IF(OR(E79="",E78=""),"",E79/E78-1)</f>
        <v/>
      </c>
      <c r="G79" s="55">
        <f>IF(A79="","",Settings!$B$8/12)</f>
        <v/>
      </c>
      <c r="H79" s="54">
        <f>IF(D79="","",D79-G79)</f>
        <v/>
      </c>
      <c r="I79" s="54">
        <f>IF(F79="","",F79-G79)</f>
        <v/>
      </c>
      <c r="J79" s="54">
        <f>IF(OR(D79="",F79=""),"",D79-F79)</f>
        <v/>
      </c>
      <c r="K79" s="56">
        <f>IF(OR(A79="",B79=""),"",IF(D79="",K78,K78*(1+D79)))</f>
        <v/>
      </c>
      <c r="L79" s="56">
        <f>IF(E79="","",IF(F79="",L78,L78*(1+F79)))</f>
        <v/>
      </c>
      <c r="M79" s="33">
        <f>IF(K79="","",K79/MAX(K$6:K79)-1)</f>
        <v/>
      </c>
      <c r="N79" s="33">
        <f>IF(L79="","",L79/MAX(L$6:L79)-1)</f>
        <v/>
      </c>
      <c r="O79" s="57">
        <f>IF(H79="","",MIN(H79,0)^2)</f>
        <v/>
      </c>
      <c r="P79" s="58">
        <f>IF(A79="","",YEAR(A79))</f>
        <v/>
      </c>
      <c r="Q79" s="59">
        <f>IF(D79="","",LN(1+D79))</f>
        <v/>
      </c>
      <c r="R79" s="27" t="n"/>
    </row>
    <row r="80">
      <c r="A80" s="43" t="n"/>
      <c r="B80" s="53" t="n"/>
      <c r="C80" s="32">
        <f>IF(A80="","",SUMIFS(Transactions!$J$6:$J$505,Transactions!$B$6:$B$505,"Deposit",Transactions!$A$6:$A$505,"&gt;"&amp;A79,Transactions!$A$6:$A$505,"&lt;="&amp;A80)-SUMIFS(Transactions!$J$6:$J$505,Transactions!$B$6:$B$505,"Withdrawal",Transactions!$A$6:$A$505,"&gt;"&amp;A79,Transactions!$A$6:$A$505,"&lt;="&amp;A80))</f>
        <v/>
      </c>
      <c r="D80" s="54">
        <f>IF(OR(A80="",B80=""),"",IF(B79="","",(B80-B79-C80)/(B79+0.5*C80)))</f>
        <v/>
      </c>
      <c r="E80" s="30" t="n"/>
      <c r="F80" s="54">
        <f>IF(OR(E80="",E79=""),"",E80/E79-1)</f>
        <v/>
      </c>
      <c r="G80" s="55">
        <f>IF(A80="","",Settings!$B$8/12)</f>
        <v/>
      </c>
      <c r="H80" s="54">
        <f>IF(D80="","",D80-G80)</f>
        <v/>
      </c>
      <c r="I80" s="54">
        <f>IF(F80="","",F80-G80)</f>
        <v/>
      </c>
      <c r="J80" s="54">
        <f>IF(OR(D80="",F80=""),"",D80-F80)</f>
        <v/>
      </c>
      <c r="K80" s="56">
        <f>IF(OR(A80="",B80=""),"",IF(D80="",K79,K79*(1+D80)))</f>
        <v/>
      </c>
      <c r="L80" s="56">
        <f>IF(E80="","",IF(F80="",L79,L79*(1+F80)))</f>
        <v/>
      </c>
      <c r="M80" s="33">
        <f>IF(K80="","",K80/MAX(K$6:K80)-1)</f>
        <v/>
      </c>
      <c r="N80" s="33">
        <f>IF(L80="","",L80/MAX(L$6:L80)-1)</f>
        <v/>
      </c>
      <c r="O80" s="57">
        <f>IF(H80="","",MIN(H80,0)^2)</f>
        <v/>
      </c>
      <c r="P80" s="58">
        <f>IF(A80="","",YEAR(A80))</f>
        <v/>
      </c>
      <c r="Q80" s="59">
        <f>IF(D80="","",LN(1+D80))</f>
        <v/>
      </c>
      <c r="R80" s="27" t="n"/>
    </row>
    <row r="81">
      <c r="A81" s="43" t="n"/>
      <c r="B81" s="53" t="n"/>
      <c r="C81" s="32">
        <f>IF(A81="","",SUMIFS(Transactions!$J$6:$J$505,Transactions!$B$6:$B$505,"Deposit",Transactions!$A$6:$A$505,"&gt;"&amp;A80,Transactions!$A$6:$A$505,"&lt;="&amp;A81)-SUMIFS(Transactions!$J$6:$J$505,Transactions!$B$6:$B$505,"Withdrawal",Transactions!$A$6:$A$505,"&gt;"&amp;A80,Transactions!$A$6:$A$505,"&lt;="&amp;A81))</f>
        <v/>
      </c>
      <c r="D81" s="54">
        <f>IF(OR(A81="",B81=""),"",IF(B80="","",(B81-B80-C81)/(B80+0.5*C81)))</f>
        <v/>
      </c>
      <c r="E81" s="30" t="n"/>
      <c r="F81" s="54">
        <f>IF(OR(E81="",E80=""),"",E81/E80-1)</f>
        <v/>
      </c>
      <c r="G81" s="55">
        <f>IF(A81="","",Settings!$B$8/12)</f>
        <v/>
      </c>
      <c r="H81" s="54">
        <f>IF(D81="","",D81-G81)</f>
        <v/>
      </c>
      <c r="I81" s="54">
        <f>IF(F81="","",F81-G81)</f>
        <v/>
      </c>
      <c r="J81" s="54">
        <f>IF(OR(D81="",F81=""),"",D81-F81)</f>
        <v/>
      </c>
      <c r="K81" s="56">
        <f>IF(OR(A81="",B81=""),"",IF(D81="",K80,K80*(1+D81)))</f>
        <v/>
      </c>
      <c r="L81" s="56">
        <f>IF(E81="","",IF(F81="",L80,L80*(1+F81)))</f>
        <v/>
      </c>
      <c r="M81" s="33">
        <f>IF(K81="","",K81/MAX(K$6:K81)-1)</f>
        <v/>
      </c>
      <c r="N81" s="33">
        <f>IF(L81="","",L81/MAX(L$6:L81)-1)</f>
        <v/>
      </c>
      <c r="O81" s="57">
        <f>IF(H81="","",MIN(H81,0)^2)</f>
        <v/>
      </c>
      <c r="P81" s="58">
        <f>IF(A81="","",YEAR(A81))</f>
        <v/>
      </c>
      <c r="Q81" s="59">
        <f>IF(D81="","",LN(1+D81))</f>
        <v/>
      </c>
      <c r="R81" s="27" t="n"/>
    </row>
    <row r="82">
      <c r="A82" s="43" t="n"/>
      <c r="B82" s="53" t="n"/>
      <c r="C82" s="32">
        <f>IF(A82="","",SUMIFS(Transactions!$J$6:$J$505,Transactions!$B$6:$B$505,"Deposit",Transactions!$A$6:$A$505,"&gt;"&amp;A81,Transactions!$A$6:$A$505,"&lt;="&amp;A82)-SUMIFS(Transactions!$J$6:$J$505,Transactions!$B$6:$B$505,"Withdrawal",Transactions!$A$6:$A$505,"&gt;"&amp;A81,Transactions!$A$6:$A$505,"&lt;="&amp;A82))</f>
        <v/>
      </c>
      <c r="D82" s="54">
        <f>IF(OR(A82="",B82=""),"",IF(B81="","",(B82-B81-C82)/(B81+0.5*C82)))</f>
        <v/>
      </c>
      <c r="E82" s="30" t="n"/>
      <c r="F82" s="54">
        <f>IF(OR(E82="",E81=""),"",E82/E81-1)</f>
        <v/>
      </c>
      <c r="G82" s="55">
        <f>IF(A82="","",Settings!$B$8/12)</f>
        <v/>
      </c>
      <c r="H82" s="54">
        <f>IF(D82="","",D82-G82)</f>
        <v/>
      </c>
      <c r="I82" s="54">
        <f>IF(F82="","",F82-G82)</f>
        <v/>
      </c>
      <c r="J82" s="54">
        <f>IF(OR(D82="",F82=""),"",D82-F82)</f>
        <v/>
      </c>
      <c r="K82" s="56">
        <f>IF(OR(A82="",B82=""),"",IF(D82="",K81,K81*(1+D82)))</f>
        <v/>
      </c>
      <c r="L82" s="56">
        <f>IF(E82="","",IF(F82="",L81,L81*(1+F82)))</f>
        <v/>
      </c>
      <c r="M82" s="33">
        <f>IF(K82="","",K82/MAX(K$6:K82)-1)</f>
        <v/>
      </c>
      <c r="N82" s="33">
        <f>IF(L82="","",L82/MAX(L$6:L82)-1)</f>
        <v/>
      </c>
      <c r="O82" s="57">
        <f>IF(H82="","",MIN(H82,0)^2)</f>
        <v/>
      </c>
      <c r="P82" s="58">
        <f>IF(A82="","",YEAR(A82))</f>
        <v/>
      </c>
      <c r="Q82" s="59">
        <f>IF(D82="","",LN(1+D82))</f>
        <v/>
      </c>
      <c r="R82" s="27" t="n"/>
    </row>
    <row r="83">
      <c r="A83" s="43" t="n"/>
      <c r="B83" s="53" t="n"/>
      <c r="C83" s="32">
        <f>IF(A83="","",SUMIFS(Transactions!$J$6:$J$505,Transactions!$B$6:$B$505,"Deposit",Transactions!$A$6:$A$505,"&gt;"&amp;A82,Transactions!$A$6:$A$505,"&lt;="&amp;A83)-SUMIFS(Transactions!$J$6:$J$505,Transactions!$B$6:$B$505,"Withdrawal",Transactions!$A$6:$A$505,"&gt;"&amp;A82,Transactions!$A$6:$A$505,"&lt;="&amp;A83))</f>
        <v/>
      </c>
      <c r="D83" s="54">
        <f>IF(OR(A83="",B83=""),"",IF(B82="","",(B83-B82-C83)/(B82+0.5*C83)))</f>
        <v/>
      </c>
      <c r="E83" s="30" t="n"/>
      <c r="F83" s="54">
        <f>IF(OR(E83="",E82=""),"",E83/E82-1)</f>
        <v/>
      </c>
      <c r="G83" s="55">
        <f>IF(A83="","",Settings!$B$8/12)</f>
        <v/>
      </c>
      <c r="H83" s="54">
        <f>IF(D83="","",D83-G83)</f>
        <v/>
      </c>
      <c r="I83" s="54">
        <f>IF(F83="","",F83-G83)</f>
        <v/>
      </c>
      <c r="J83" s="54">
        <f>IF(OR(D83="",F83=""),"",D83-F83)</f>
        <v/>
      </c>
      <c r="K83" s="56">
        <f>IF(OR(A83="",B83=""),"",IF(D83="",K82,K82*(1+D83)))</f>
        <v/>
      </c>
      <c r="L83" s="56">
        <f>IF(E83="","",IF(F83="",L82,L82*(1+F83)))</f>
        <v/>
      </c>
      <c r="M83" s="33">
        <f>IF(K83="","",K83/MAX(K$6:K83)-1)</f>
        <v/>
      </c>
      <c r="N83" s="33">
        <f>IF(L83="","",L83/MAX(L$6:L83)-1)</f>
        <v/>
      </c>
      <c r="O83" s="57">
        <f>IF(H83="","",MIN(H83,0)^2)</f>
        <v/>
      </c>
      <c r="P83" s="58">
        <f>IF(A83="","",YEAR(A83))</f>
        <v/>
      </c>
      <c r="Q83" s="59">
        <f>IF(D83="","",LN(1+D83))</f>
        <v/>
      </c>
      <c r="R83" s="27" t="n"/>
    </row>
    <row r="84">
      <c r="A84" s="43" t="n"/>
      <c r="B84" s="53" t="n"/>
      <c r="C84" s="32">
        <f>IF(A84="","",SUMIFS(Transactions!$J$6:$J$505,Transactions!$B$6:$B$505,"Deposit",Transactions!$A$6:$A$505,"&gt;"&amp;A83,Transactions!$A$6:$A$505,"&lt;="&amp;A84)-SUMIFS(Transactions!$J$6:$J$505,Transactions!$B$6:$B$505,"Withdrawal",Transactions!$A$6:$A$505,"&gt;"&amp;A83,Transactions!$A$6:$A$505,"&lt;="&amp;A84))</f>
        <v/>
      </c>
      <c r="D84" s="54">
        <f>IF(OR(A84="",B84=""),"",IF(B83="","",(B84-B83-C84)/(B83+0.5*C84)))</f>
        <v/>
      </c>
      <c r="E84" s="30" t="n"/>
      <c r="F84" s="54">
        <f>IF(OR(E84="",E83=""),"",E84/E83-1)</f>
        <v/>
      </c>
      <c r="G84" s="55">
        <f>IF(A84="","",Settings!$B$8/12)</f>
        <v/>
      </c>
      <c r="H84" s="54">
        <f>IF(D84="","",D84-G84)</f>
        <v/>
      </c>
      <c r="I84" s="54">
        <f>IF(F84="","",F84-G84)</f>
        <v/>
      </c>
      <c r="J84" s="54">
        <f>IF(OR(D84="",F84=""),"",D84-F84)</f>
        <v/>
      </c>
      <c r="K84" s="56">
        <f>IF(OR(A84="",B84=""),"",IF(D84="",K83,K83*(1+D84)))</f>
        <v/>
      </c>
      <c r="L84" s="56">
        <f>IF(E84="","",IF(F84="",L83,L83*(1+F84)))</f>
        <v/>
      </c>
      <c r="M84" s="33">
        <f>IF(K84="","",K84/MAX(K$6:K84)-1)</f>
        <v/>
      </c>
      <c r="N84" s="33">
        <f>IF(L84="","",L84/MAX(L$6:L84)-1)</f>
        <v/>
      </c>
      <c r="O84" s="57">
        <f>IF(H84="","",MIN(H84,0)^2)</f>
        <v/>
      </c>
      <c r="P84" s="58">
        <f>IF(A84="","",YEAR(A84))</f>
        <v/>
      </c>
      <c r="Q84" s="59">
        <f>IF(D84="","",LN(1+D84))</f>
        <v/>
      </c>
      <c r="R84" s="27" t="n"/>
    </row>
    <row r="85">
      <c r="A85" s="43" t="n"/>
      <c r="B85" s="53" t="n"/>
      <c r="C85" s="32">
        <f>IF(A85="","",SUMIFS(Transactions!$J$6:$J$505,Transactions!$B$6:$B$505,"Deposit",Transactions!$A$6:$A$505,"&gt;"&amp;A84,Transactions!$A$6:$A$505,"&lt;="&amp;A85)-SUMIFS(Transactions!$J$6:$J$505,Transactions!$B$6:$B$505,"Withdrawal",Transactions!$A$6:$A$505,"&gt;"&amp;A84,Transactions!$A$6:$A$505,"&lt;="&amp;A85))</f>
        <v/>
      </c>
      <c r="D85" s="54">
        <f>IF(OR(A85="",B85=""),"",IF(B84="","",(B85-B84-C85)/(B84+0.5*C85)))</f>
        <v/>
      </c>
      <c r="E85" s="30" t="n"/>
      <c r="F85" s="54">
        <f>IF(OR(E85="",E84=""),"",E85/E84-1)</f>
        <v/>
      </c>
      <c r="G85" s="55">
        <f>IF(A85="","",Settings!$B$8/12)</f>
        <v/>
      </c>
      <c r="H85" s="54">
        <f>IF(D85="","",D85-G85)</f>
        <v/>
      </c>
      <c r="I85" s="54">
        <f>IF(F85="","",F85-G85)</f>
        <v/>
      </c>
      <c r="J85" s="54">
        <f>IF(OR(D85="",F85=""),"",D85-F85)</f>
        <v/>
      </c>
      <c r="K85" s="56">
        <f>IF(OR(A85="",B85=""),"",IF(D85="",K84,K84*(1+D85)))</f>
        <v/>
      </c>
      <c r="L85" s="56">
        <f>IF(E85="","",IF(F85="",L84,L84*(1+F85)))</f>
        <v/>
      </c>
      <c r="M85" s="33">
        <f>IF(K85="","",K85/MAX(K$6:K85)-1)</f>
        <v/>
      </c>
      <c r="N85" s="33">
        <f>IF(L85="","",L85/MAX(L$6:L85)-1)</f>
        <v/>
      </c>
      <c r="O85" s="57">
        <f>IF(H85="","",MIN(H85,0)^2)</f>
        <v/>
      </c>
      <c r="P85" s="58">
        <f>IF(A85="","",YEAR(A85))</f>
        <v/>
      </c>
      <c r="Q85" s="59">
        <f>IF(D85="","",LN(1+D85))</f>
        <v/>
      </c>
      <c r="R85" s="27" t="n"/>
    </row>
    <row r="86">
      <c r="A86" s="43" t="n"/>
      <c r="B86" s="53" t="n"/>
      <c r="C86" s="32">
        <f>IF(A86="","",SUMIFS(Transactions!$J$6:$J$505,Transactions!$B$6:$B$505,"Deposit",Transactions!$A$6:$A$505,"&gt;"&amp;A85,Transactions!$A$6:$A$505,"&lt;="&amp;A86)-SUMIFS(Transactions!$J$6:$J$505,Transactions!$B$6:$B$505,"Withdrawal",Transactions!$A$6:$A$505,"&gt;"&amp;A85,Transactions!$A$6:$A$505,"&lt;="&amp;A86))</f>
        <v/>
      </c>
      <c r="D86" s="54">
        <f>IF(OR(A86="",B86=""),"",IF(B85="","",(B86-B85-C86)/(B85+0.5*C86)))</f>
        <v/>
      </c>
      <c r="E86" s="30" t="n"/>
      <c r="F86" s="54">
        <f>IF(OR(E86="",E85=""),"",E86/E85-1)</f>
        <v/>
      </c>
      <c r="G86" s="55">
        <f>IF(A86="","",Settings!$B$8/12)</f>
        <v/>
      </c>
      <c r="H86" s="54">
        <f>IF(D86="","",D86-G86)</f>
        <v/>
      </c>
      <c r="I86" s="54">
        <f>IF(F86="","",F86-G86)</f>
        <v/>
      </c>
      <c r="J86" s="54">
        <f>IF(OR(D86="",F86=""),"",D86-F86)</f>
        <v/>
      </c>
      <c r="K86" s="56">
        <f>IF(OR(A86="",B86=""),"",IF(D86="",K85,K85*(1+D86)))</f>
        <v/>
      </c>
      <c r="L86" s="56">
        <f>IF(E86="","",IF(F86="",L85,L85*(1+F86)))</f>
        <v/>
      </c>
      <c r="M86" s="33">
        <f>IF(K86="","",K86/MAX(K$6:K86)-1)</f>
        <v/>
      </c>
      <c r="N86" s="33">
        <f>IF(L86="","",L86/MAX(L$6:L86)-1)</f>
        <v/>
      </c>
      <c r="O86" s="57">
        <f>IF(H86="","",MIN(H86,0)^2)</f>
        <v/>
      </c>
      <c r="P86" s="58">
        <f>IF(A86="","",YEAR(A86))</f>
        <v/>
      </c>
      <c r="Q86" s="59">
        <f>IF(D86="","",LN(1+D86))</f>
        <v/>
      </c>
      <c r="R86" s="27" t="n"/>
    </row>
    <row r="87">
      <c r="A87" s="43" t="n"/>
      <c r="B87" s="53" t="n"/>
      <c r="C87" s="32">
        <f>IF(A87="","",SUMIFS(Transactions!$J$6:$J$505,Transactions!$B$6:$B$505,"Deposit",Transactions!$A$6:$A$505,"&gt;"&amp;A86,Transactions!$A$6:$A$505,"&lt;="&amp;A87)-SUMIFS(Transactions!$J$6:$J$505,Transactions!$B$6:$B$505,"Withdrawal",Transactions!$A$6:$A$505,"&gt;"&amp;A86,Transactions!$A$6:$A$505,"&lt;="&amp;A87))</f>
        <v/>
      </c>
      <c r="D87" s="54">
        <f>IF(OR(A87="",B87=""),"",IF(B86="","",(B87-B86-C87)/(B86+0.5*C87)))</f>
        <v/>
      </c>
      <c r="E87" s="30" t="n"/>
      <c r="F87" s="54">
        <f>IF(OR(E87="",E86=""),"",E87/E86-1)</f>
        <v/>
      </c>
      <c r="G87" s="55">
        <f>IF(A87="","",Settings!$B$8/12)</f>
        <v/>
      </c>
      <c r="H87" s="54">
        <f>IF(D87="","",D87-G87)</f>
        <v/>
      </c>
      <c r="I87" s="54">
        <f>IF(F87="","",F87-G87)</f>
        <v/>
      </c>
      <c r="J87" s="54">
        <f>IF(OR(D87="",F87=""),"",D87-F87)</f>
        <v/>
      </c>
      <c r="K87" s="56">
        <f>IF(OR(A87="",B87=""),"",IF(D87="",K86,K86*(1+D87)))</f>
        <v/>
      </c>
      <c r="L87" s="56">
        <f>IF(E87="","",IF(F87="",L86,L86*(1+F87)))</f>
        <v/>
      </c>
      <c r="M87" s="33">
        <f>IF(K87="","",K87/MAX(K$6:K87)-1)</f>
        <v/>
      </c>
      <c r="N87" s="33">
        <f>IF(L87="","",L87/MAX(L$6:L87)-1)</f>
        <v/>
      </c>
      <c r="O87" s="57">
        <f>IF(H87="","",MIN(H87,0)^2)</f>
        <v/>
      </c>
      <c r="P87" s="58">
        <f>IF(A87="","",YEAR(A87))</f>
        <v/>
      </c>
      <c r="Q87" s="59">
        <f>IF(D87="","",LN(1+D87))</f>
        <v/>
      </c>
      <c r="R87" s="27" t="n"/>
    </row>
    <row r="88">
      <c r="A88" s="43" t="n"/>
      <c r="B88" s="53" t="n"/>
      <c r="C88" s="32">
        <f>IF(A88="","",SUMIFS(Transactions!$J$6:$J$505,Transactions!$B$6:$B$505,"Deposit",Transactions!$A$6:$A$505,"&gt;"&amp;A87,Transactions!$A$6:$A$505,"&lt;="&amp;A88)-SUMIFS(Transactions!$J$6:$J$505,Transactions!$B$6:$B$505,"Withdrawal",Transactions!$A$6:$A$505,"&gt;"&amp;A87,Transactions!$A$6:$A$505,"&lt;="&amp;A88))</f>
        <v/>
      </c>
      <c r="D88" s="54">
        <f>IF(OR(A88="",B88=""),"",IF(B87="","",(B88-B87-C88)/(B87+0.5*C88)))</f>
        <v/>
      </c>
      <c r="E88" s="30" t="n"/>
      <c r="F88" s="54">
        <f>IF(OR(E88="",E87=""),"",E88/E87-1)</f>
        <v/>
      </c>
      <c r="G88" s="55">
        <f>IF(A88="","",Settings!$B$8/12)</f>
        <v/>
      </c>
      <c r="H88" s="54">
        <f>IF(D88="","",D88-G88)</f>
        <v/>
      </c>
      <c r="I88" s="54">
        <f>IF(F88="","",F88-G88)</f>
        <v/>
      </c>
      <c r="J88" s="54">
        <f>IF(OR(D88="",F88=""),"",D88-F88)</f>
        <v/>
      </c>
      <c r="K88" s="56">
        <f>IF(OR(A88="",B88=""),"",IF(D88="",K87,K87*(1+D88)))</f>
        <v/>
      </c>
      <c r="L88" s="56">
        <f>IF(E88="","",IF(F88="",L87,L87*(1+F88)))</f>
        <v/>
      </c>
      <c r="M88" s="33">
        <f>IF(K88="","",K88/MAX(K$6:K88)-1)</f>
        <v/>
      </c>
      <c r="N88" s="33">
        <f>IF(L88="","",L88/MAX(L$6:L88)-1)</f>
        <v/>
      </c>
      <c r="O88" s="57">
        <f>IF(H88="","",MIN(H88,0)^2)</f>
        <v/>
      </c>
      <c r="P88" s="58">
        <f>IF(A88="","",YEAR(A88))</f>
        <v/>
      </c>
      <c r="Q88" s="59">
        <f>IF(D88="","",LN(1+D88))</f>
        <v/>
      </c>
      <c r="R88" s="27" t="n"/>
    </row>
    <row r="89">
      <c r="A89" s="43" t="n"/>
      <c r="B89" s="53" t="n"/>
      <c r="C89" s="32">
        <f>IF(A89="","",SUMIFS(Transactions!$J$6:$J$505,Transactions!$B$6:$B$505,"Deposit",Transactions!$A$6:$A$505,"&gt;"&amp;A88,Transactions!$A$6:$A$505,"&lt;="&amp;A89)-SUMIFS(Transactions!$J$6:$J$505,Transactions!$B$6:$B$505,"Withdrawal",Transactions!$A$6:$A$505,"&gt;"&amp;A88,Transactions!$A$6:$A$505,"&lt;="&amp;A89))</f>
        <v/>
      </c>
      <c r="D89" s="54">
        <f>IF(OR(A89="",B89=""),"",IF(B88="","",(B89-B88-C89)/(B88+0.5*C89)))</f>
        <v/>
      </c>
      <c r="E89" s="30" t="n"/>
      <c r="F89" s="54">
        <f>IF(OR(E89="",E88=""),"",E89/E88-1)</f>
        <v/>
      </c>
      <c r="G89" s="55">
        <f>IF(A89="","",Settings!$B$8/12)</f>
        <v/>
      </c>
      <c r="H89" s="54">
        <f>IF(D89="","",D89-G89)</f>
        <v/>
      </c>
      <c r="I89" s="54">
        <f>IF(F89="","",F89-G89)</f>
        <v/>
      </c>
      <c r="J89" s="54">
        <f>IF(OR(D89="",F89=""),"",D89-F89)</f>
        <v/>
      </c>
      <c r="K89" s="56">
        <f>IF(OR(A89="",B89=""),"",IF(D89="",K88,K88*(1+D89)))</f>
        <v/>
      </c>
      <c r="L89" s="56">
        <f>IF(E89="","",IF(F89="",L88,L88*(1+F89)))</f>
        <v/>
      </c>
      <c r="M89" s="33">
        <f>IF(K89="","",K89/MAX(K$6:K89)-1)</f>
        <v/>
      </c>
      <c r="N89" s="33">
        <f>IF(L89="","",L89/MAX(L$6:L89)-1)</f>
        <v/>
      </c>
      <c r="O89" s="57">
        <f>IF(H89="","",MIN(H89,0)^2)</f>
        <v/>
      </c>
      <c r="P89" s="58">
        <f>IF(A89="","",YEAR(A89))</f>
        <v/>
      </c>
      <c r="Q89" s="59">
        <f>IF(D89="","",LN(1+D89))</f>
        <v/>
      </c>
      <c r="R89" s="27" t="n"/>
    </row>
    <row r="90">
      <c r="A90" s="43" t="n"/>
      <c r="B90" s="53" t="n"/>
      <c r="C90" s="32">
        <f>IF(A90="","",SUMIFS(Transactions!$J$6:$J$505,Transactions!$B$6:$B$505,"Deposit",Transactions!$A$6:$A$505,"&gt;"&amp;A89,Transactions!$A$6:$A$505,"&lt;="&amp;A90)-SUMIFS(Transactions!$J$6:$J$505,Transactions!$B$6:$B$505,"Withdrawal",Transactions!$A$6:$A$505,"&gt;"&amp;A89,Transactions!$A$6:$A$505,"&lt;="&amp;A90))</f>
        <v/>
      </c>
      <c r="D90" s="54">
        <f>IF(OR(A90="",B90=""),"",IF(B89="","",(B90-B89-C90)/(B89+0.5*C90)))</f>
        <v/>
      </c>
      <c r="E90" s="30" t="n"/>
      <c r="F90" s="54">
        <f>IF(OR(E90="",E89=""),"",E90/E89-1)</f>
        <v/>
      </c>
      <c r="G90" s="55">
        <f>IF(A90="","",Settings!$B$8/12)</f>
        <v/>
      </c>
      <c r="H90" s="54">
        <f>IF(D90="","",D90-G90)</f>
        <v/>
      </c>
      <c r="I90" s="54">
        <f>IF(F90="","",F90-G90)</f>
        <v/>
      </c>
      <c r="J90" s="54">
        <f>IF(OR(D90="",F90=""),"",D90-F90)</f>
        <v/>
      </c>
      <c r="K90" s="56">
        <f>IF(OR(A90="",B90=""),"",IF(D90="",K89,K89*(1+D90)))</f>
        <v/>
      </c>
      <c r="L90" s="56">
        <f>IF(E90="","",IF(F90="",L89,L89*(1+F90)))</f>
        <v/>
      </c>
      <c r="M90" s="33">
        <f>IF(K90="","",K90/MAX(K$6:K90)-1)</f>
        <v/>
      </c>
      <c r="N90" s="33">
        <f>IF(L90="","",L90/MAX(L$6:L90)-1)</f>
        <v/>
      </c>
      <c r="O90" s="57">
        <f>IF(H90="","",MIN(H90,0)^2)</f>
        <v/>
      </c>
      <c r="P90" s="58">
        <f>IF(A90="","",YEAR(A90))</f>
        <v/>
      </c>
      <c r="Q90" s="59">
        <f>IF(D90="","",LN(1+D90))</f>
        <v/>
      </c>
      <c r="R90" s="27" t="n"/>
    </row>
    <row r="91">
      <c r="A91" s="43" t="n"/>
      <c r="B91" s="53" t="n"/>
      <c r="C91" s="32">
        <f>IF(A91="","",SUMIFS(Transactions!$J$6:$J$505,Transactions!$B$6:$B$505,"Deposit",Transactions!$A$6:$A$505,"&gt;"&amp;A90,Transactions!$A$6:$A$505,"&lt;="&amp;A91)-SUMIFS(Transactions!$J$6:$J$505,Transactions!$B$6:$B$505,"Withdrawal",Transactions!$A$6:$A$505,"&gt;"&amp;A90,Transactions!$A$6:$A$505,"&lt;="&amp;A91))</f>
        <v/>
      </c>
      <c r="D91" s="54">
        <f>IF(OR(A91="",B91=""),"",IF(B90="","",(B91-B90-C91)/(B90+0.5*C91)))</f>
        <v/>
      </c>
      <c r="E91" s="30" t="n"/>
      <c r="F91" s="54">
        <f>IF(OR(E91="",E90=""),"",E91/E90-1)</f>
        <v/>
      </c>
      <c r="G91" s="55">
        <f>IF(A91="","",Settings!$B$8/12)</f>
        <v/>
      </c>
      <c r="H91" s="54">
        <f>IF(D91="","",D91-G91)</f>
        <v/>
      </c>
      <c r="I91" s="54">
        <f>IF(F91="","",F91-G91)</f>
        <v/>
      </c>
      <c r="J91" s="54">
        <f>IF(OR(D91="",F91=""),"",D91-F91)</f>
        <v/>
      </c>
      <c r="K91" s="56">
        <f>IF(OR(A91="",B91=""),"",IF(D91="",K90,K90*(1+D91)))</f>
        <v/>
      </c>
      <c r="L91" s="56">
        <f>IF(E91="","",IF(F91="",L90,L90*(1+F91)))</f>
        <v/>
      </c>
      <c r="M91" s="33">
        <f>IF(K91="","",K91/MAX(K$6:K91)-1)</f>
        <v/>
      </c>
      <c r="N91" s="33">
        <f>IF(L91="","",L91/MAX(L$6:L91)-1)</f>
        <v/>
      </c>
      <c r="O91" s="57">
        <f>IF(H91="","",MIN(H91,0)^2)</f>
        <v/>
      </c>
      <c r="P91" s="58">
        <f>IF(A91="","",YEAR(A91))</f>
        <v/>
      </c>
      <c r="Q91" s="59">
        <f>IF(D91="","",LN(1+D91))</f>
        <v/>
      </c>
      <c r="R91" s="27" t="n"/>
    </row>
    <row r="92">
      <c r="A92" s="43" t="n"/>
      <c r="B92" s="53" t="n"/>
      <c r="C92" s="32">
        <f>IF(A92="","",SUMIFS(Transactions!$J$6:$J$505,Transactions!$B$6:$B$505,"Deposit",Transactions!$A$6:$A$505,"&gt;"&amp;A91,Transactions!$A$6:$A$505,"&lt;="&amp;A92)-SUMIFS(Transactions!$J$6:$J$505,Transactions!$B$6:$B$505,"Withdrawal",Transactions!$A$6:$A$505,"&gt;"&amp;A91,Transactions!$A$6:$A$505,"&lt;="&amp;A92))</f>
        <v/>
      </c>
      <c r="D92" s="54">
        <f>IF(OR(A92="",B92=""),"",IF(B91="","",(B92-B91-C92)/(B91+0.5*C92)))</f>
        <v/>
      </c>
      <c r="E92" s="30" t="n"/>
      <c r="F92" s="54">
        <f>IF(OR(E92="",E91=""),"",E92/E91-1)</f>
        <v/>
      </c>
      <c r="G92" s="55">
        <f>IF(A92="","",Settings!$B$8/12)</f>
        <v/>
      </c>
      <c r="H92" s="54">
        <f>IF(D92="","",D92-G92)</f>
        <v/>
      </c>
      <c r="I92" s="54">
        <f>IF(F92="","",F92-G92)</f>
        <v/>
      </c>
      <c r="J92" s="54">
        <f>IF(OR(D92="",F92=""),"",D92-F92)</f>
        <v/>
      </c>
      <c r="K92" s="56">
        <f>IF(OR(A92="",B92=""),"",IF(D92="",K91,K91*(1+D92)))</f>
        <v/>
      </c>
      <c r="L92" s="56">
        <f>IF(E92="","",IF(F92="",L91,L91*(1+F92)))</f>
        <v/>
      </c>
      <c r="M92" s="33">
        <f>IF(K92="","",K92/MAX(K$6:K92)-1)</f>
        <v/>
      </c>
      <c r="N92" s="33">
        <f>IF(L92="","",L92/MAX(L$6:L92)-1)</f>
        <v/>
      </c>
      <c r="O92" s="57">
        <f>IF(H92="","",MIN(H92,0)^2)</f>
        <v/>
      </c>
      <c r="P92" s="58">
        <f>IF(A92="","",YEAR(A92))</f>
        <v/>
      </c>
      <c r="Q92" s="59">
        <f>IF(D92="","",LN(1+D92))</f>
        <v/>
      </c>
      <c r="R92" s="27" t="n"/>
    </row>
    <row r="93">
      <c r="A93" s="43" t="n"/>
      <c r="B93" s="53" t="n"/>
      <c r="C93" s="32">
        <f>IF(A93="","",SUMIFS(Transactions!$J$6:$J$505,Transactions!$B$6:$B$505,"Deposit",Transactions!$A$6:$A$505,"&gt;"&amp;A92,Transactions!$A$6:$A$505,"&lt;="&amp;A93)-SUMIFS(Transactions!$J$6:$J$505,Transactions!$B$6:$B$505,"Withdrawal",Transactions!$A$6:$A$505,"&gt;"&amp;A92,Transactions!$A$6:$A$505,"&lt;="&amp;A93))</f>
        <v/>
      </c>
      <c r="D93" s="54">
        <f>IF(OR(A93="",B93=""),"",IF(B92="","",(B93-B92-C93)/(B92+0.5*C93)))</f>
        <v/>
      </c>
      <c r="E93" s="30" t="n"/>
      <c r="F93" s="54">
        <f>IF(OR(E93="",E92=""),"",E93/E92-1)</f>
        <v/>
      </c>
      <c r="G93" s="55">
        <f>IF(A93="","",Settings!$B$8/12)</f>
        <v/>
      </c>
      <c r="H93" s="54">
        <f>IF(D93="","",D93-G93)</f>
        <v/>
      </c>
      <c r="I93" s="54">
        <f>IF(F93="","",F93-G93)</f>
        <v/>
      </c>
      <c r="J93" s="54">
        <f>IF(OR(D93="",F93=""),"",D93-F93)</f>
        <v/>
      </c>
      <c r="K93" s="56">
        <f>IF(OR(A93="",B93=""),"",IF(D93="",K92,K92*(1+D93)))</f>
        <v/>
      </c>
      <c r="L93" s="56">
        <f>IF(E93="","",IF(F93="",L92,L92*(1+F93)))</f>
        <v/>
      </c>
      <c r="M93" s="33">
        <f>IF(K93="","",K93/MAX(K$6:K93)-1)</f>
        <v/>
      </c>
      <c r="N93" s="33">
        <f>IF(L93="","",L93/MAX(L$6:L93)-1)</f>
        <v/>
      </c>
      <c r="O93" s="57">
        <f>IF(H93="","",MIN(H93,0)^2)</f>
        <v/>
      </c>
      <c r="P93" s="58">
        <f>IF(A93="","",YEAR(A93))</f>
        <v/>
      </c>
      <c r="Q93" s="59">
        <f>IF(D93="","",LN(1+D93))</f>
        <v/>
      </c>
      <c r="R93" s="27" t="n"/>
    </row>
    <row r="94">
      <c r="A94" s="43" t="n"/>
      <c r="B94" s="53" t="n"/>
      <c r="C94" s="32">
        <f>IF(A94="","",SUMIFS(Transactions!$J$6:$J$505,Transactions!$B$6:$B$505,"Deposit",Transactions!$A$6:$A$505,"&gt;"&amp;A93,Transactions!$A$6:$A$505,"&lt;="&amp;A94)-SUMIFS(Transactions!$J$6:$J$505,Transactions!$B$6:$B$505,"Withdrawal",Transactions!$A$6:$A$505,"&gt;"&amp;A93,Transactions!$A$6:$A$505,"&lt;="&amp;A94))</f>
        <v/>
      </c>
      <c r="D94" s="54">
        <f>IF(OR(A94="",B94=""),"",IF(B93="","",(B94-B93-C94)/(B93+0.5*C94)))</f>
        <v/>
      </c>
      <c r="E94" s="30" t="n"/>
      <c r="F94" s="54">
        <f>IF(OR(E94="",E93=""),"",E94/E93-1)</f>
        <v/>
      </c>
      <c r="G94" s="55">
        <f>IF(A94="","",Settings!$B$8/12)</f>
        <v/>
      </c>
      <c r="H94" s="54">
        <f>IF(D94="","",D94-G94)</f>
        <v/>
      </c>
      <c r="I94" s="54">
        <f>IF(F94="","",F94-G94)</f>
        <v/>
      </c>
      <c r="J94" s="54">
        <f>IF(OR(D94="",F94=""),"",D94-F94)</f>
        <v/>
      </c>
      <c r="K94" s="56">
        <f>IF(OR(A94="",B94=""),"",IF(D94="",K93,K93*(1+D94)))</f>
        <v/>
      </c>
      <c r="L94" s="56">
        <f>IF(E94="","",IF(F94="",L93,L93*(1+F94)))</f>
        <v/>
      </c>
      <c r="M94" s="33">
        <f>IF(K94="","",K94/MAX(K$6:K94)-1)</f>
        <v/>
      </c>
      <c r="N94" s="33">
        <f>IF(L94="","",L94/MAX(L$6:L94)-1)</f>
        <v/>
      </c>
      <c r="O94" s="57">
        <f>IF(H94="","",MIN(H94,0)^2)</f>
        <v/>
      </c>
      <c r="P94" s="58">
        <f>IF(A94="","",YEAR(A94))</f>
        <v/>
      </c>
      <c r="Q94" s="59">
        <f>IF(D94="","",LN(1+D94))</f>
        <v/>
      </c>
      <c r="R94" s="27" t="n"/>
    </row>
    <row r="95">
      <c r="A95" s="43" t="n"/>
      <c r="B95" s="53" t="n"/>
      <c r="C95" s="32">
        <f>IF(A95="","",SUMIFS(Transactions!$J$6:$J$505,Transactions!$B$6:$B$505,"Deposit",Transactions!$A$6:$A$505,"&gt;"&amp;A94,Transactions!$A$6:$A$505,"&lt;="&amp;A95)-SUMIFS(Transactions!$J$6:$J$505,Transactions!$B$6:$B$505,"Withdrawal",Transactions!$A$6:$A$505,"&gt;"&amp;A94,Transactions!$A$6:$A$505,"&lt;="&amp;A95))</f>
        <v/>
      </c>
      <c r="D95" s="54">
        <f>IF(OR(A95="",B95=""),"",IF(B94="","",(B95-B94-C95)/(B94+0.5*C95)))</f>
        <v/>
      </c>
      <c r="E95" s="30" t="n"/>
      <c r="F95" s="54">
        <f>IF(OR(E95="",E94=""),"",E95/E94-1)</f>
        <v/>
      </c>
      <c r="G95" s="55">
        <f>IF(A95="","",Settings!$B$8/12)</f>
        <v/>
      </c>
      <c r="H95" s="54">
        <f>IF(D95="","",D95-G95)</f>
        <v/>
      </c>
      <c r="I95" s="54">
        <f>IF(F95="","",F95-G95)</f>
        <v/>
      </c>
      <c r="J95" s="54">
        <f>IF(OR(D95="",F95=""),"",D95-F95)</f>
        <v/>
      </c>
      <c r="K95" s="56">
        <f>IF(OR(A95="",B95=""),"",IF(D95="",K94,K94*(1+D95)))</f>
        <v/>
      </c>
      <c r="L95" s="56">
        <f>IF(E95="","",IF(F95="",L94,L94*(1+F95)))</f>
        <v/>
      </c>
      <c r="M95" s="33">
        <f>IF(K95="","",K95/MAX(K$6:K95)-1)</f>
        <v/>
      </c>
      <c r="N95" s="33">
        <f>IF(L95="","",L95/MAX(L$6:L95)-1)</f>
        <v/>
      </c>
      <c r="O95" s="57">
        <f>IF(H95="","",MIN(H95,0)^2)</f>
        <v/>
      </c>
      <c r="P95" s="58">
        <f>IF(A95="","",YEAR(A95))</f>
        <v/>
      </c>
      <c r="Q95" s="59">
        <f>IF(D95="","",LN(1+D95))</f>
        <v/>
      </c>
      <c r="R95" s="27" t="n"/>
    </row>
    <row r="96">
      <c r="A96" s="43" t="n"/>
      <c r="B96" s="53" t="n"/>
      <c r="C96" s="32">
        <f>IF(A96="","",SUMIFS(Transactions!$J$6:$J$505,Transactions!$B$6:$B$505,"Deposit",Transactions!$A$6:$A$505,"&gt;"&amp;A95,Transactions!$A$6:$A$505,"&lt;="&amp;A96)-SUMIFS(Transactions!$J$6:$J$505,Transactions!$B$6:$B$505,"Withdrawal",Transactions!$A$6:$A$505,"&gt;"&amp;A95,Transactions!$A$6:$A$505,"&lt;="&amp;A96))</f>
        <v/>
      </c>
      <c r="D96" s="54">
        <f>IF(OR(A96="",B96=""),"",IF(B95="","",(B96-B95-C96)/(B95+0.5*C96)))</f>
        <v/>
      </c>
      <c r="E96" s="30" t="n"/>
      <c r="F96" s="54">
        <f>IF(OR(E96="",E95=""),"",E96/E95-1)</f>
        <v/>
      </c>
      <c r="G96" s="55">
        <f>IF(A96="","",Settings!$B$8/12)</f>
        <v/>
      </c>
      <c r="H96" s="54">
        <f>IF(D96="","",D96-G96)</f>
        <v/>
      </c>
      <c r="I96" s="54">
        <f>IF(F96="","",F96-G96)</f>
        <v/>
      </c>
      <c r="J96" s="54">
        <f>IF(OR(D96="",F96=""),"",D96-F96)</f>
        <v/>
      </c>
      <c r="K96" s="56">
        <f>IF(OR(A96="",B96=""),"",IF(D96="",K95,K95*(1+D96)))</f>
        <v/>
      </c>
      <c r="L96" s="56">
        <f>IF(E96="","",IF(F96="",L95,L95*(1+F96)))</f>
        <v/>
      </c>
      <c r="M96" s="33">
        <f>IF(K96="","",K96/MAX(K$6:K96)-1)</f>
        <v/>
      </c>
      <c r="N96" s="33">
        <f>IF(L96="","",L96/MAX(L$6:L96)-1)</f>
        <v/>
      </c>
      <c r="O96" s="57">
        <f>IF(H96="","",MIN(H96,0)^2)</f>
        <v/>
      </c>
      <c r="P96" s="58">
        <f>IF(A96="","",YEAR(A96))</f>
        <v/>
      </c>
      <c r="Q96" s="59">
        <f>IF(D96="","",LN(1+D96))</f>
        <v/>
      </c>
      <c r="R96" s="27" t="n"/>
    </row>
    <row r="97">
      <c r="A97" s="43" t="n"/>
      <c r="B97" s="53" t="n"/>
      <c r="C97" s="32">
        <f>IF(A97="","",SUMIFS(Transactions!$J$6:$J$505,Transactions!$B$6:$B$505,"Deposit",Transactions!$A$6:$A$505,"&gt;"&amp;A96,Transactions!$A$6:$A$505,"&lt;="&amp;A97)-SUMIFS(Transactions!$J$6:$J$505,Transactions!$B$6:$B$505,"Withdrawal",Transactions!$A$6:$A$505,"&gt;"&amp;A96,Transactions!$A$6:$A$505,"&lt;="&amp;A97))</f>
        <v/>
      </c>
      <c r="D97" s="54">
        <f>IF(OR(A97="",B97=""),"",IF(B96="","",(B97-B96-C97)/(B96+0.5*C97)))</f>
        <v/>
      </c>
      <c r="E97" s="30" t="n"/>
      <c r="F97" s="54">
        <f>IF(OR(E97="",E96=""),"",E97/E96-1)</f>
        <v/>
      </c>
      <c r="G97" s="55">
        <f>IF(A97="","",Settings!$B$8/12)</f>
        <v/>
      </c>
      <c r="H97" s="54">
        <f>IF(D97="","",D97-G97)</f>
        <v/>
      </c>
      <c r="I97" s="54">
        <f>IF(F97="","",F97-G97)</f>
        <v/>
      </c>
      <c r="J97" s="54">
        <f>IF(OR(D97="",F97=""),"",D97-F97)</f>
        <v/>
      </c>
      <c r="K97" s="56">
        <f>IF(OR(A97="",B97=""),"",IF(D97="",K96,K96*(1+D97)))</f>
        <v/>
      </c>
      <c r="L97" s="56">
        <f>IF(E97="","",IF(F97="",L96,L96*(1+F97)))</f>
        <v/>
      </c>
      <c r="M97" s="33">
        <f>IF(K97="","",K97/MAX(K$6:K97)-1)</f>
        <v/>
      </c>
      <c r="N97" s="33">
        <f>IF(L97="","",L97/MAX(L$6:L97)-1)</f>
        <v/>
      </c>
      <c r="O97" s="57">
        <f>IF(H97="","",MIN(H97,0)^2)</f>
        <v/>
      </c>
      <c r="P97" s="58">
        <f>IF(A97="","",YEAR(A97))</f>
        <v/>
      </c>
      <c r="Q97" s="59">
        <f>IF(D97="","",LN(1+D97))</f>
        <v/>
      </c>
      <c r="R97" s="27" t="n"/>
    </row>
    <row r="98">
      <c r="A98" s="43" t="n"/>
      <c r="B98" s="53" t="n"/>
      <c r="C98" s="32">
        <f>IF(A98="","",SUMIFS(Transactions!$J$6:$J$505,Transactions!$B$6:$B$505,"Deposit",Transactions!$A$6:$A$505,"&gt;"&amp;A97,Transactions!$A$6:$A$505,"&lt;="&amp;A98)-SUMIFS(Transactions!$J$6:$J$505,Transactions!$B$6:$B$505,"Withdrawal",Transactions!$A$6:$A$505,"&gt;"&amp;A97,Transactions!$A$6:$A$505,"&lt;="&amp;A98))</f>
        <v/>
      </c>
      <c r="D98" s="54">
        <f>IF(OR(A98="",B98=""),"",IF(B97="","",(B98-B97-C98)/(B97+0.5*C98)))</f>
        <v/>
      </c>
      <c r="E98" s="30" t="n"/>
      <c r="F98" s="54">
        <f>IF(OR(E98="",E97=""),"",E98/E97-1)</f>
        <v/>
      </c>
      <c r="G98" s="55">
        <f>IF(A98="","",Settings!$B$8/12)</f>
        <v/>
      </c>
      <c r="H98" s="54">
        <f>IF(D98="","",D98-G98)</f>
        <v/>
      </c>
      <c r="I98" s="54">
        <f>IF(F98="","",F98-G98)</f>
        <v/>
      </c>
      <c r="J98" s="54">
        <f>IF(OR(D98="",F98=""),"",D98-F98)</f>
        <v/>
      </c>
      <c r="K98" s="56">
        <f>IF(OR(A98="",B98=""),"",IF(D98="",K97,K97*(1+D98)))</f>
        <v/>
      </c>
      <c r="L98" s="56">
        <f>IF(E98="","",IF(F98="",L97,L97*(1+F98)))</f>
        <v/>
      </c>
      <c r="M98" s="33">
        <f>IF(K98="","",K98/MAX(K$6:K98)-1)</f>
        <v/>
      </c>
      <c r="N98" s="33">
        <f>IF(L98="","",L98/MAX(L$6:L98)-1)</f>
        <v/>
      </c>
      <c r="O98" s="57">
        <f>IF(H98="","",MIN(H98,0)^2)</f>
        <v/>
      </c>
      <c r="P98" s="58">
        <f>IF(A98="","",YEAR(A98))</f>
        <v/>
      </c>
      <c r="Q98" s="59">
        <f>IF(D98="","",LN(1+D98))</f>
        <v/>
      </c>
      <c r="R98" s="27" t="n"/>
    </row>
    <row r="99">
      <c r="A99" s="43" t="n"/>
      <c r="B99" s="53" t="n"/>
      <c r="C99" s="32">
        <f>IF(A99="","",SUMIFS(Transactions!$J$6:$J$505,Transactions!$B$6:$B$505,"Deposit",Transactions!$A$6:$A$505,"&gt;"&amp;A98,Transactions!$A$6:$A$505,"&lt;="&amp;A99)-SUMIFS(Transactions!$J$6:$J$505,Transactions!$B$6:$B$505,"Withdrawal",Transactions!$A$6:$A$505,"&gt;"&amp;A98,Transactions!$A$6:$A$505,"&lt;="&amp;A99))</f>
        <v/>
      </c>
      <c r="D99" s="54">
        <f>IF(OR(A99="",B99=""),"",IF(B98="","",(B99-B98-C99)/(B98+0.5*C99)))</f>
        <v/>
      </c>
      <c r="E99" s="30" t="n"/>
      <c r="F99" s="54">
        <f>IF(OR(E99="",E98=""),"",E99/E98-1)</f>
        <v/>
      </c>
      <c r="G99" s="55">
        <f>IF(A99="","",Settings!$B$8/12)</f>
        <v/>
      </c>
      <c r="H99" s="54">
        <f>IF(D99="","",D99-G99)</f>
        <v/>
      </c>
      <c r="I99" s="54">
        <f>IF(F99="","",F99-G99)</f>
        <v/>
      </c>
      <c r="J99" s="54">
        <f>IF(OR(D99="",F99=""),"",D99-F99)</f>
        <v/>
      </c>
      <c r="K99" s="56">
        <f>IF(OR(A99="",B99=""),"",IF(D99="",K98,K98*(1+D99)))</f>
        <v/>
      </c>
      <c r="L99" s="56">
        <f>IF(E99="","",IF(F99="",L98,L98*(1+F99)))</f>
        <v/>
      </c>
      <c r="M99" s="33">
        <f>IF(K99="","",K99/MAX(K$6:K99)-1)</f>
        <v/>
      </c>
      <c r="N99" s="33">
        <f>IF(L99="","",L99/MAX(L$6:L99)-1)</f>
        <v/>
      </c>
      <c r="O99" s="57">
        <f>IF(H99="","",MIN(H99,0)^2)</f>
        <v/>
      </c>
      <c r="P99" s="58">
        <f>IF(A99="","",YEAR(A99))</f>
        <v/>
      </c>
      <c r="Q99" s="59">
        <f>IF(D99="","",LN(1+D99))</f>
        <v/>
      </c>
      <c r="R99" s="27" t="n"/>
    </row>
    <row r="100">
      <c r="A100" s="43" t="n"/>
      <c r="B100" s="53" t="n"/>
      <c r="C100" s="32">
        <f>IF(A100="","",SUMIFS(Transactions!$J$6:$J$505,Transactions!$B$6:$B$505,"Deposit",Transactions!$A$6:$A$505,"&gt;"&amp;A99,Transactions!$A$6:$A$505,"&lt;="&amp;A100)-SUMIFS(Transactions!$J$6:$J$505,Transactions!$B$6:$B$505,"Withdrawal",Transactions!$A$6:$A$505,"&gt;"&amp;A99,Transactions!$A$6:$A$505,"&lt;="&amp;A100))</f>
        <v/>
      </c>
      <c r="D100" s="54">
        <f>IF(OR(A100="",B100=""),"",IF(B99="","",(B100-B99-C100)/(B99+0.5*C100)))</f>
        <v/>
      </c>
      <c r="E100" s="30" t="n"/>
      <c r="F100" s="54">
        <f>IF(OR(E100="",E99=""),"",E100/E99-1)</f>
        <v/>
      </c>
      <c r="G100" s="55">
        <f>IF(A100="","",Settings!$B$8/12)</f>
        <v/>
      </c>
      <c r="H100" s="54">
        <f>IF(D100="","",D100-G100)</f>
        <v/>
      </c>
      <c r="I100" s="54">
        <f>IF(F100="","",F100-G100)</f>
        <v/>
      </c>
      <c r="J100" s="54">
        <f>IF(OR(D100="",F100=""),"",D100-F100)</f>
        <v/>
      </c>
      <c r="K100" s="56">
        <f>IF(OR(A100="",B100=""),"",IF(D100="",K99,K99*(1+D100)))</f>
        <v/>
      </c>
      <c r="L100" s="56">
        <f>IF(E100="","",IF(F100="",L99,L99*(1+F100)))</f>
        <v/>
      </c>
      <c r="M100" s="33">
        <f>IF(K100="","",K100/MAX(K$6:K100)-1)</f>
        <v/>
      </c>
      <c r="N100" s="33">
        <f>IF(L100="","",L100/MAX(L$6:L100)-1)</f>
        <v/>
      </c>
      <c r="O100" s="57">
        <f>IF(H100="","",MIN(H100,0)^2)</f>
        <v/>
      </c>
      <c r="P100" s="58">
        <f>IF(A100="","",YEAR(A100))</f>
        <v/>
      </c>
      <c r="Q100" s="59">
        <f>IF(D100="","",LN(1+D100))</f>
        <v/>
      </c>
      <c r="R100" s="27" t="n"/>
    </row>
    <row r="101">
      <c r="A101" s="43" t="n"/>
      <c r="B101" s="53" t="n"/>
      <c r="C101" s="32">
        <f>IF(A101="","",SUMIFS(Transactions!$J$6:$J$505,Transactions!$B$6:$B$505,"Deposit",Transactions!$A$6:$A$505,"&gt;"&amp;A100,Transactions!$A$6:$A$505,"&lt;="&amp;A101)-SUMIFS(Transactions!$J$6:$J$505,Transactions!$B$6:$B$505,"Withdrawal",Transactions!$A$6:$A$505,"&gt;"&amp;A100,Transactions!$A$6:$A$505,"&lt;="&amp;A101))</f>
        <v/>
      </c>
      <c r="D101" s="54">
        <f>IF(OR(A101="",B101=""),"",IF(B100="","",(B101-B100-C101)/(B100+0.5*C101)))</f>
        <v/>
      </c>
      <c r="E101" s="30" t="n"/>
      <c r="F101" s="54">
        <f>IF(OR(E101="",E100=""),"",E101/E100-1)</f>
        <v/>
      </c>
      <c r="G101" s="55">
        <f>IF(A101="","",Settings!$B$8/12)</f>
        <v/>
      </c>
      <c r="H101" s="54">
        <f>IF(D101="","",D101-G101)</f>
        <v/>
      </c>
      <c r="I101" s="54">
        <f>IF(F101="","",F101-G101)</f>
        <v/>
      </c>
      <c r="J101" s="54">
        <f>IF(OR(D101="",F101=""),"",D101-F101)</f>
        <v/>
      </c>
      <c r="K101" s="56">
        <f>IF(OR(A101="",B101=""),"",IF(D101="",K100,K100*(1+D101)))</f>
        <v/>
      </c>
      <c r="L101" s="56">
        <f>IF(E101="","",IF(F101="",L100,L100*(1+F101)))</f>
        <v/>
      </c>
      <c r="M101" s="33">
        <f>IF(K101="","",K101/MAX(K$6:K101)-1)</f>
        <v/>
      </c>
      <c r="N101" s="33">
        <f>IF(L101="","",L101/MAX(L$6:L101)-1)</f>
        <v/>
      </c>
      <c r="O101" s="57">
        <f>IF(H101="","",MIN(H101,0)^2)</f>
        <v/>
      </c>
      <c r="P101" s="58">
        <f>IF(A101="","",YEAR(A101))</f>
        <v/>
      </c>
      <c r="Q101" s="59">
        <f>IF(D101="","",LN(1+D101))</f>
        <v/>
      </c>
      <c r="R101" s="27" t="n"/>
    </row>
    <row r="102">
      <c r="A102" s="43" t="n"/>
      <c r="B102" s="53" t="n"/>
      <c r="C102" s="32">
        <f>IF(A102="","",SUMIFS(Transactions!$J$6:$J$505,Transactions!$B$6:$B$505,"Deposit",Transactions!$A$6:$A$505,"&gt;"&amp;A101,Transactions!$A$6:$A$505,"&lt;="&amp;A102)-SUMIFS(Transactions!$J$6:$J$505,Transactions!$B$6:$B$505,"Withdrawal",Transactions!$A$6:$A$505,"&gt;"&amp;A101,Transactions!$A$6:$A$505,"&lt;="&amp;A102))</f>
        <v/>
      </c>
      <c r="D102" s="54">
        <f>IF(OR(A102="",B102=""),"",IF(B101="","",(B102-B101-C102)/(B101+0.5*C102)))</f>
        <v/>
      </c>
      <c r="E102" s="30" t="n"/>
      <c r="F102" s="54">
        <f>IF(OR(E102="",E101=""),"",E102/E101-1)</f>
        <v/>
      </c>
      <c r="G102" s="55">
        <f>IF(A102="","",Settings!$B$8/12)</f>
        <v/>
      </c>
      <c r="H102" s="54">
        <f>IF(D102="","",D102-G102)</f>
        <v/>
      </c>
      <c r="I102" s="54">
        <f>IF(F102="","",F102-G102)</f>
        <v/>
      </c>
      <c r="J102" s="54">
        <f>IF(OR(D102="",F102=""),"",D102-F102)</f>
        <v/>
      </c>
      <c r="K102" s="56">
        <f>IF(OR(A102="",B102=""),"",IF(D102="",K101,K101*(1+D102)))</f>
        <v/>
      </c>
      <c r="L102" s="56">
        <f>IF(E102="","",IF(F102="",L101,L101*(1+F102)))</f>
        <v/>
      </c>
      <c r="M102" s="33">
        <f>IF(K102="","",K102/MAX(K$6:K102)-1)</f>
        <v/>
      </c>
      <c r="N102" s="33">
        <f>IF(L102="","",L102/MAX(L$6:L102)-1)</f>
        <v/>
      </c>
      <c r="O102" s="57">
        <f>IF(H102="","",MIN(H102,0)^2)</f>
        <v/>
      </c>
      <c r="P102" s="58">
        <f>IF(A102="","",YEAR(A102))</f>
        <v/>
      </c>
      <c r="Q102" s="59">
        <f>IF(D102="","",LN(1+D102))</f>
        <v/>
      </c>
      <c r="R102" s="27" t="n"/>
    </row>
    <row r="103">
      <c r="A103" s="43" t="n"/>
      <c r="B103" s="53" t="n"/>
      <c r="C103" s="32">
        <f>IF(A103="","",SUMIFS(Transactions!$J$6:$J$505,Transactions!$B$6:$B$505,"Deposit",Transactions!$A$6:$A$505,"&gt;"&amp;A102,Transactions!$A$6:$A$505,"&lt;="&amp;A103)-SUMIFS(Transactions!$J$6:$J$505,Transactions!$B$6:$B$505,"Withdrawal",Transactions!$A$6:$A$505,"&gt;"&amp;A102,Transactions!$A$6:$A$505,"&lt;="&amp;A103))</f>
        <v/>
      </c>
      <c r="D103" s="54">
        <f>IF(OR(A103="",B103=""),"",IF(B102="","",(B103-B102-C103)/(B102+0.5*C103)))</f>
        <v/>
      </c>
      <c r="E103" s="30" t="n"/>
      <c r="F103" s="54">
        <f>IF(OR(E103="",E102=""),"",E103/E102-1)</f>
        <v/>
      </c>
      <c r="G103" s="55">
        <f>IF(A103="","",Settings!$B$8/12)</f>
        <v/>
      </c>
      <c r="H103" s="54">
        <f>IF(D103="","",D103-G103)</f>
        <v/>
      </c>
      <c r="I103" s="54">
        <f>IF(F103="","",F103-G103)</f>
        <v/>
      </c>
      <c r="J103" s="54">
        <f>IF(OR(D103="",F103=""),"",D103-F103)</f>
        <v/>
      </c>
      <c r="K103" s="56">
        <f>IF(OR(A103="",B103=""),"",IF(D103="",K102,K102*(1+D103)))</f>
        <v/>
      </c>
      <c r="L103" s="56">
        <f>IF(E103="","",IF(F103="",L102,L102*(1+F103)))</f>
        <v/>
      </c>
      <c r="M103" s="33">
        <f>IF(K103="","",K103/MAX(K$6:K103)-1)</f>
        <v/>
      </c>
      <c r="N103" s="33">
        <f>IF(L103="","",L103/MAX(L$6:L103)-1)</f>
        <v/>
      </c>
      <c r="O103" s="57">
        <f>IF(H103="","",MIN(H103,0)^2)</f>
        <v/>
      </c>
      <c r="P103" s="58">
        <f>IF(A103="","",YEAR(A103))</f>
        <v/>
      </c>
      <c r="Q103" s="59">
        <f>IF(D103="","",LN(1+D103))</f>
        <v/>
      </c>
      <c r="R103" s="27" t="n"/>
    </row>
    <row r="104">
      <c r="A104" s="43" t="n"/>
      <c r="B104" s="53" t="n"/>
      <c r="C104" s="32">
        <f>IF(A104="","",SUMIFS(Transactions!$J$6:$J$505,Transactions!$B$6:$B$505,"Deposit",Transactions!$A$6:$A$505,"&gt;"&amp;A103,Transactions!$A$6:$A$505,"&lt;="&amp;A104)-SUMIFS(Transactions!$J$6:$J$505,Transactions!$B$6:$B$505,"Withdrawal",Transactions!$A$6:$A$505,"&gt;"&amp;A103,Transactions!$A$6:$A$505,"&lt;="&amp;A104))</f>
        <v/>
      </c>
      <c r="D104" s="54">
        <f>IF(OR(A104="",B104=""),"",IF(B103="","",(B104-B103-C104)/(B103+0.5*C104)))</f>
        <v/>
      </c>
      <c r="E104" s="30" t="n"/>
      <c r="F104" s="54">
        <f>IF(OR(E104="",E103=""),"",E104/E103-1)</f>
        <v/>
      </c>
      <c r="G104" s="55">
        <f>IF(A104="","",Settings!$B$8/12)</f>
        <v/>
      </c>
      <c r="H104" s="54">
        <f>IF(D104="","",D104-G104)</f>
        <v/>
      </c>
      <c r="I104" s="54">
        <f>IF(F104="","",F104-G104)</f>
        <v/>
      </c>
      <c r="J104" s="54">
        <f>IF(OR(D104="",F104=""),"",D104-F104)</f>
        <v/>
      </c>
      <c r="K104" s="56">
        <f>IF(OR(A104="",B104=""),"",IF(D104="",K103,K103*(1+D104)))</f>
        <v/>
      </c>
      <c r="L104" s="56">
        <f>IF(E104="","",IF(F104="",L103,L103*(1+F104)))</f>
        <v/>
      </c>
      <c r="M104" s="33">
        <f>IF(K104="","",K104/MAX(K$6:K104)-1)</f>
        <v/>
      </c>
      <c r="N104" s="33">
        <f>IF(L104="","",L104/MAX(L$6:L104)-1)</f>
        <v/>
      </c>
      <c r="O104" s="57">
        <f>IF(H104="","",MIN(H104,0)^2)</f>
        <v/>
      </c>
      <c r="P104" s="58">
        <f>IF(A104="","",YEAR(A104))</f>
        <v/>
      </c>
      <c r="Q104" s="59">
        <f>IF(D104="","",LN(1+D104))</f>
        <v/>
      </c>
      <c r="R104" s="27" t="n"/>
    </row>
    <row r="105">
      <c r="A105" s="43" t="n"/>
      <c r="B105" s="53" t="n"/>
      <c r="C105" s="32">
        <f>IF(A105="","",SUMIFS(Transactions!$J$6:$J$505,Transactions!$B$6:$B$505,"Deposit",Transactions!$A$6:$A$505,"&gt;"&amp;A104,Transactions!$A$6:$A$505,"&lt;="&amp;A105)-SUMIFS(Transactions!$J$6:$J$505,Transactions!$B$6:$B$505,"Withdrawal",Transactions!$A$6:$A$505,"&gt;"&amp;A104,Transactions!$A$6:$A$505,"&lt;="&amp;A105))</f>
        <v/>
      </c>
      <c r="D105" s="54">
        <f>IF(OR(A105="",B105=""),"",IF(B104="","",(B105-B104-C105)/(B104+0.5*C105)))</f>
        <v/>
      </c>
      <c r="E105" s="30" t="n"/>
      <c r="F105" s="54">
        <f>IF(OR(E105="",E104=""),"",E105/E104-1)</f>
        <v/>
      </c>
      <c r="G105" s="55">
        <f>IF(A105="","",Settings!$B$8/12)</f>
        <v/>
      </c>
      <c r="H105" s="54">
        <f>IF(D105="","",D105-G105)</f>
        <v/>
      </c>
      <c r="I105" s="54">
        <f>IF(F105="","",F105-G105)</f>
        <v/>
      </c>
      <c r="J105" s="54">
        <f>IF(OR(D105="",F105=""),"",D105-F105)</f>
        <v/>
      </c>
      <c r="K105" s="56">
        <f>IF(OR(A105="",B105=""),"",IF(D105="",K104,K104*(1+D105)))</f>
        <v/>
      </c>
      <c r="L105" s="56">
        <f>IF(E105="","",IF(F105="",L104,L104*(1+F105)))</f>
        <v/>
      </c>
      <c r="M105" s="33">
        <f>IF(K105="","",K105/MAX(K$6:K105)-1)</f>
        <v/>
      </c>
      <c r="N105" s="33">
        <f>IF(L105="","",L105/MAX(L$6:L105)-1)</f>
        <v/>
      </c>
      <c r="O105" s="57">
        <f>IF(H105="","",MIN(H105,0)^2)</f>
        <v/>
      </c>
      <c r="P105" s="58">
        <f>IF(A105="","",YEAR(A105))</f>
        <v/>
      </c>
      <c r="Q105" s="59">
        <f>IF(D105="","",LN(1+D105))</f>
        <v/>
      </c>
      <c r="R105" s="27" t="n"/>
    </row>
    <row r="106">
      <c r="A106" s="43" t="n"/>
      <c r="B106" s="53" t="n"/>
      <c r="C106" s="32">
        <f>IF(A106="","",SUMIFS(Transactions!$J$6:$J$505,Transactions!$B$6:$B$505,"Deposit",Transactions!$A$6:$A$505,"&gt;"&amp;A105,Transactions!$A$6:$A$505,"&lt;="&amp;A106)-SUMIFS(Transactions!$J$6:$J$505,Transactions!$B$6:$B$505,"Withdrawal",Transactions!$A$6:$A$505,"&gt;"&amp;A105,Transactions!$A$6:$A$505,"&lt;="&amp;A106))</f>
        <v/>
      </c>
      <c r="D106" s="54">
        <f>IF(OR(A106="",B106=""),"",IF(B105="","",(B106-B105-C106)/(B105+0.5*C106)))</f>
        <v/>
      </c>
      <c r="E106" s="30" t="n"/>
      <c r="F106" s="54">
        <f>IF(OR(E106="",E105=""),"",E106/E105-1)</f>
        <v/>
      </c>
      <c r="G106" s="55">
        <f>IF(A106="","",Settings!$B$8/12)</f>
        <v/>
      </c>
      <c r="H106" s="54">
        <f>IF(D106="","",D106-G106)</f>
        <v/>
      </c>
      <c r="I106" s="54">
        <f>IF(F106="","",F106-G106)</f>
        <v/>
      </c>
      <c r="J106" s="54">
        <f>IF(OR(D106="",F106=""),"",D106-F106)</f>
        <v/>
      </c>
      <c r="K106" s="56">
        <f>IF(OR(A106="",B106=""),"",IF(D106="",K105,K105*(1+D106)))</f>
        <v/>
      </c>
      <c r="L106" s="56">
        <f>IF(E106="","",IF(F106="",L105,L105*(1+F106)))</f>
        <v/>
      </c>
      <c r="M106" s="33">
        <f>IF(K106="","",K106/MAX(K$6:K106)-1)</f>
        <v/>
      </c>
      <c r="N106" s="33">
        <f>IF(L106="","",L106/MAX(L$6:L106)-1)</f>
        <v/>
      </c>
      <c r="O106" s="57">
        <f>IF(H106="","",MIN(H106,0)^2)</f>
        <v/>
      </c>
      <c r="P106" s="58">
        <f>IF(A106="","",YEAR(A106))</f>
        <v/>
      </c>
      <c r="Q106" s="59">
        <f>IF(D106="","",LN(1+D106))</f>
        <v/>
      </c>
      <c r="R106" s="27" t="n"/>
    </row>
    <row r="107">
      <c r="A107" s="43" t="n"/>
      <c r="B107" s="53" t="n"/>
      <c r="C107" s="32">
        <f>IF(A107="","",SUMIFS(Transactions!$J$6:$J$505,Transactions!$B$6:$B$505,"Deposit",Transactions!$A$6:$A$505,"&gt;"&amp;A106,Transactions!$A$6:$A$505,"&lt;="&amp;A107)-SUMIFS(Transactions!$J$6:$J$505,Transactions!$B$6:$B$505,"Withdrawal",Transactions!$A$6:$A$505,"&gt;"&amp;A106,Transactions!$A$6:$A$505,"&lt;="&amp;A107))</f>
        <v/>
      </c>
      <c r="D107" s="54">
        <f>IF(OR(A107="",B107=""),"",IF(B106="","",(B107-B106-C107)/(B106+0.5*C107)))</f>
        <v/>
      </c>
      <c r="E107" s="30" t="n"/>
      <c r="F107" s="54">
        <f>IF(OR(E107="",E106=""),"",E107/E106-1)</f>
        <v/>
      </c>
      <c r="G107" s="55">
        <f>IF(A107="","",Settings!$B$8/12)</f>
        <v/>
      </c>
      <c r="H107" s="54">
        <f>IF(D107="","",D107-G107)</f>
        <v/>
      </c>
      <c r="I107" s="54">
        <f>IF(F107="","",F107-G107)</f>
        <v/>
      </c>
      <c r="J107" s="54">
        <f>IF(OR(D107="",F107=""),"",D107-F107)</f>
        <v/>
      </c>
      <c r="K107" s="56">
        <f>IF(OR(A107="",B107=""),"",IF(D107="",K106,K106*(1+D107)))</f>
        <v/>
      </c>
      <c r="L107" s="56">
        <f>IF(E107="","",IF(F107="",L106,L106*(1+F107)))</f>
        <v/>
      </c>
      <c r="M107" s="33">
        <f>IF(K107="","",K107/MAX(K$6:K107)-1)</f>
        <v/>
      </c>
      <c r="N107" s="33">
        <f>IF(L107="","",L107/MAX(L$6:L107)-1)</f>
        <v/>
      </c>
      <c r="O107" s="57">
        <f>IF(H107="","",MIN(H107,0)^2)</f>
        <v/>
      </c>
      <c r="P107" s="58">
        <f>IF(A107="","",YEAR(A107))</f>
        <v/>
      </c>
      <c r="Q107" s="59">
        <f>IF(D107="","",LN(1+D107))</f>
        <v/>
      </c>
      <c r="R107" s="27" t="n"/>
    </row>
    <row r="108">
      <c r="A108" s="43" t="n"/>
      <c r="B108" s="53" t="n"/>
      <c r="C108" s="32">
        <f>IF(A108="","",SUMIFS(Transactions!$J$6:$J$505,Transactions!$B$6:$B$505,"Deposit",Transactions!$A$6:$A$505,"&gt;"&amp;A107,Transactions!$A$6:$A$505,"&lt;="&amp;A108)-SUMIFS(Transactions!$J$6:$J$505,Transactions!$B$6:$B$505,"Withdrawal",Transactions!$A$6:$A$505,"&gt;"&amp;A107,Transactions!$A$6:$A$505,"&lt;="&amp;A108))</f>
        <v/>
      </c>
      <c r="D108" s="54">
        <f>IF(OR(A108="",B108=""),"",IF(B107="","",(B108-B107-C108)/(B107+0.5*C108)))</f>
        <v/>
      </c>
      <c r="E108" s="30" t="n"/>
      <c r="F108" s="54">
        <f>IF(OR(E108="",E107=""),"",E108/E107-1)</f>
        <v/>
      </c>
      <c r="G108" s="55">
        <f>IF(A108="","",Settings!$B$8/12)</f>
        <v/>
      </c>
      <c r="H108" s="54">
        <f>IF(D108="","",D108-G108)</f>
        <v/>
      </c>
      <c r="I108" s="54">
        <f>IF(F108="","",F108-G108)</f>
        <v/>
      </c>
      <c r="J108" s="54">
        <f>IF(OR(D108="",F108=""),"",D108-F108)</f>
        <v/>
      </c>
      <c r="K108" s="56">
        <f>IF(OR(A108="",B108=""),"",IF(D108="",K107,K107*(1+D108)))</f>
        <v/>
      </c>
      <c r="L108" s="56">
        <f>IF(E108="","",IF(F108="",L107,L107*(1+F108)))</f>
        <v/>
      </c>
      <c r="M108" s="33">
        <f>IF(K108="","",K108/MAX(K$6:K108)-1)</f>
        <v/>
      </c>
      <c r="N108" s="33">
        <f>IF(L108="","",L108/MAX(L$6:L108)-1)</f>
        <v/>
      </c>
      <c r="O108" s="57">
        <f>IF(H108="","",MIN(H108,0)^2)</f>
        <v/>
      </c>
      <c r="P108" s="58">
        <f>IF(A108="","",YEAR(A108))</f>
        <v/>
      </c>
      <c r="Q108" s="59">
        <f>IF(D108="","",LN(1+D108))</f>
        <v/>
      </c>
      <c r="R108" s="27" t="n"/>
    </row>
    <row r="109">
      <c r="A109" s="43" t="n"/>
      <c r="B109" s="53" t="n"/>
      <c r="C109" s="32">
        <f>IF(A109="","",SUMIFS(Transactions!$J$6:$J$505,Transactions!$B$6:$B$505,"Deposit",Transactions!$A$6:$A$505,"&gt;"&amp;A108,Transactions!$A$6:$A$505,"&lt;="&amp;A109)-SUMIFS(Transactions!$J$6:$J$505,Transactions!$B$6:$B$505,"Withdrawal",Transactions!$A$6:$A$505,"&gt;"&amp;A108,Transactions!$A$6:$A$505,"&lt;="&amp;A109))</f>
        <v/>
      </c>
      <c r="D109" s="54">
        <f>IF(OR(A109="",B109=""),"",IF(B108="","",(B109-B108-C109)/(B108+0.5*C109)))</f>
        <v/>
      </c>
      <c r="E109" s="30" t="n"/>
      <c r="F109" s="54">
        <f>IF(OR(E109="",E108=""),"",E109/E108-1)</f>
        <v/>
      </c>
      <c r="G109" s="55">
        <f>IF(A109="","",Settings!$B$8/12)</f>
        <v/>
      </c>
      <c r="H109" s="54">
        <f>IF(D109="","",D109-G109)</f>
        <v/>
      </c>
      <c r="I109" s="54">
        <f>IF(F109="","",F109-G109)</f>
        <v/>
      </c>
      <c r="J109" s="54">
        <f>IF(OR(D109="",F109=""),"",D109-F109)</f>
        <v/>
      </c>
      <c r="K109" s="56">
        <f>IF(OR(A109="",B109=""),"",IF(D109="",K108,K108*(1+D109)))</f>
        <v/>
      </c>
      <c r="L109" s="56">
        <f>IF(E109="","",IF(F109="",L108,L108*(1+F109)))</f>
        <v/>
      </c>
      <c r="M109" s="33">
        <f>IF(K109="","",K109/MAX(K$6:K109)-1)</f>
        <v/>
      </c>
      <c r="N109" s="33">
        <f>IF(L109="","",L109/MAX(L$6:L109)-1)</f>
        <v/>
      </c>
      <c r="O109" s="57">
        <f>IF(H109="","",MIN(H109,0)^2)</f>
        <v/>
      </c>
      <c r="P109" s="58">
        <f>IF(A109="","",YEAR(A109))</f>
        <v/>
      </c>
      <c r="Q109" s="59">
        <f>IF(D109="","",LN(1+D109))</f>
        <v/>
      </c>
      <c r="R109" s="27" t="n"/>
    </row>
    <row r="110">
      <c r="A110" s="43" t="n"/>
      <c r="B110" s="53" t="n"/>
      <c r="C110" s="32">
        <f>IF(A110="","",SUMIFS(Transactions!$J$6:$J$505,Transactions!$B$6:$B$505,"Deposit",Transactions!$A$6:$A$505,"&gt;"&amp;A109,Transactions!$A$6:$A$505,"&lt;="&amp;A110)-SUMIFS(Transactions!$J$6:$J$505,Transactions!$B$6:$B$505,"Withdrawal",Transactions!$A$6:$A$505,"&gt;"&amp;A109,Transactions!$A$6:$A$505,"&lt;="&amp;A110))</f>
        <v/>
      </c>
      <c r="D110" s="54">
        <f>IF(OR(A110="",B110=""),"",IF(B109="","",(B110-B109-C110)/(B109+0.5*C110)))</f>
        <v/>
      </c>
      <c r="E110" s="30" t="n"/>
      <c r="F110" s="54">
        <f>IF(OR(E110="",E109=""),"",E110/E109-1)</f>
        <v/>
      </c>
      <c r="G110" s="55">
        <f>IF(A110="","",Settings!$B$8/12)</f>
        <v/>
      </c>
      <c r="H110" s="54">
        <f>IF(D110="","",D110-G110)</f>
        <v/>
      </c>
      <c r="I110" s="54">
        <f>IF(F110="","",F110-G110)</f>
        <v/>
      </c>
      <c r="J110" s="54">
        <f>IF(OR(D110="",F110=""),"",D110-F110)</f>
        <v/>
      </c>
      <c r="K110" s="56">
        <f>IF(OR(A110="",B110=""),"",IF(D110="",K109,K109*(1+D110)))</f>
        <v/>
      </c>
      <c r="L110" s="56">
        <f>IF(E110="","",IF(F110="",L109,L109*(1+F110)))</f>
        <v/>
      </c>
      <c r="M110" s="33">
        <f>IF(K110="","",K110/MAX(K$6:K110)-1)</f>
        <v/>
      </c>
      <c r="N110" s="33">
        <f>IF(L110="","",L110/MAX(L$6:L110)-1)</f>
        <v/>
      </c>
      <c r="O110" s="57">
        <f>IF(H110="","",MIN(H110,0)^2)</f>
        <v/>
      </c>
      <c r="P110" s="58">
        <f>IF(A110="","",YEAR(A110))</f>
        <v/>
      </c>
      <c r="Q110" s="59">
        <f>IF(D110="","",LN(1+D110))</f>
        <v/>
      </c>
      <c r="R110" s="27" t="n"/>
    </row>
    <row r="111">
      <c r="A111" s="43" t="n"/>
      <c r="B111" s="53" t="n"/>
      <c r="C111" s="32">
        <f>IF(A111="","",SUMIFS(Transactions!$J$6:$J$505,Transactions!$B$6:$B$505,"Deposit",Transactions!$A$6:$A$505,"&gt;"&amp;A110,Transactions!$A$6:$A$505,"&lt;="&amp;A111)-SUMIFS(Transactions!$J$6:$J$505,Transactions!$B$6:$B$505,"Withdrawal",Transactions!$A$6:$A$505,"&gt;"&amp;A110,Transactions!$A$6:$A$505,"&lt;="&amp;A111))</f>
        <v/>
      </c>
      <c r="D111" s="54">
        <f>IF(OR(A111="",B111=""),"",IF(B110="","",(B111-B110-C111)/(B110+0.5*C111)))</f>
        <v/>
      </c>
      <c r="E111" s="30" t="n"/>
      <c r="F111" s="54">
        <f>IF(OR(E111="",E110=""),"",E111/E110-1)</f>
        <v/>
      </c>
      <c r="G111" s="55">
        <f>IF(A111="","",Settings!$B$8/12)</f>
        <v/>
      </c>
      <c r="H111" s="54">
        <f>IF(D111="","",D111-G111)</f>
        <v/>
      </c>
      <c r="I111" s="54">
        <f>IF(F111="","",F111-G111)</f>
        <v/>
      </c>
      <c r="J111" s="54">
        <f>IF(OR(D111="",F111=""),"",D111-F111)</f>
        <v/>
      </c>
      <c r="K111" s="56">
        <f>IF(OR(A111="",B111=""),"",IF(D111="",K110,K110*(1+D111)))</f>
        <v/>
      </c>
      <c r="L111" s="56">
        <f>IF(E111="","",IF(F111="",L110,L110*(1+F111)))</f>
        <v/>
      </c>
      <c r="M111" s="33">
        <f>IF(K111="","",K111/MAX(K$6:K111)-1)</f>
        <v/>
      </c>
      <c r="N111" s="33">
        <f>IF(L111="","",L111/MAX(L$6:L111)-1)</f>
        <v/>
      </c>
      <c r="O111" s="57">
        <f>IF(H111="","",MIN(H111,0)^2)</f>
        <v/>
      </c>
      <c r="P111" s="58">
        <f>IF(A111="","",YEAR(A111))</f>
        <v/>
      </c>
      <c r="Q111" s="59">
        <f>IF(D111="","",LN(1+D111))</f>
        <v/>
      </c>
      <c r="R111" s="27" t="n"/>
    </row>
    <row r="112">
      <c r="A112" s="43" t="n"/>
      <c r="B112" s="53" t="n"/>
      <c r="C112" s="32">
        <f>IF(A112="","",SUMIFS(Transactions!$J$6:$J$505,Transactions!$B$6:$B$505,"Deposit",Transactions!$A$6:$A$505,"&gt;"&amp;A111,Transactions!$A$6:$A$505,"&lt;="&amp;A112)-SUMIFS(Transactions!$J$6:$J$505,Transactions!$B$6:$B$505,"Withdrawal",Transactions!$A$6:$A$505,"&gt;"&amp;A111,Transactions!$A$6:$A$505,"&lt;="&amp;A112))</f>
        <v/>
      </c>
      <c r="D112" s="54">
        <f>IF(OR(A112="",B112=""),"",IF(B111="","",(B112-B111-C112)/(B111+0.5*C112)))</f>
        <v/>
      </c>
      <c r="E112" s="30" t="n"/>
      <c r="F112" s="54">
        <f>IF(OR(E112="",E111=""),"",E112/E111-1)</f>
        <v/>
      </c>
      <c r="G112" s="55">
        <f>IF(A112="","",Settings!$B$8/12)</f>
        <v/>
      </c>
      <c r="H112" s="54">
        <f>IF(D112="","",D112-G112)</f>
        <v/>
      </c>
      <c r="I112" s="54">
        <f>IF(F112="","",F112-G112)</f>
        <v/>
      </c>
      <c r="J112" s="54">
        <f>IF(OR(D112="",F112=""),"",D112-F112)</f>
        <v/>
      </c>
      <c r="K112" s="56">
        <f>IF(OR(A112="",B112=""),"",IF(D112="",K111,K111*(1+D112)))</f>
        <v/>
      </c>
      <c r="L112" s="56">
        <f>IF(E112="","",IF(F112="",L111,L111*(1+F112)))</f>
        <v/>
      </c>
      <c r="M112" s="33">
        <f>IF(K112="","",K112/MAX(K$6:K112)-1)</f>
        <v/>
      </c>
      <c r="N112" s="33">
        <f>IF(L112="","",L112/MAX(L$6:L112)-1)</f>
        <v/>
      </c>
      <c r="O112" s="57">
        <f>IF(H112="","",MIN(H112,0)^2)</f>
        <v/>
      </c>
      <c r="P112" s="58">
        <f>IF(A112="","",YEAR(A112))</f>
        <v/>
      </c>
      <c r="Q112" s="59">
        <f>IF(D112="","",LN(1+D112))</f>
        <v/>
      </c>
      <c r="R112" s="27" t="n"/>
    </row>
    <row r="113">
      <c r="A113" s="43" t="n"/>
      <c r="B113" s="53" t="n"/>
      <c r="C113" s="32">
        <f>IF(A113="","",SUMIFS(Transactions!$J$6:$J$505,Transactions!$B$6:$B$505,"Deposit",Transactions!$A$6:$A$505,"&gt;"&amp;A112,Transactions!$A$6:$A$505,"&lt;="&amp;A113)-SUMIFS(Transactions!$J$6:$J$505,Transactions!$B$6:$B$505,"Withdrawal",Transactions!$A$6:$A$505,"&gt;"&amp;A112,Transactions!$A$6:$A$505,"&lt;="&amp;A113))</f>
        <v/>
      </c>
      <c r="D113" s="54">
        <f>IF(OR(A113="",B113=""),"",IF(B112="","",(B113-B112-C113)/(B112+0.5*C113)))</f>
        <v/>
      </c>
      <c r="E113" s="30" t="n"/>
      <c r="F113" s="54">
        <f>IF(OR(E113="",E112=""),"",E113/E112-1)</f>
        <v/>
      </c>
      <c r="G113" s="55">
        <f>IF(A113="","",Settings!$B$8/12)</f>
        <v/>
      </c>
      <c r="H113" s="54">
        <f>IF(D113="","",D113-G113)</f>
        <v/>
      </c>
      <c r="I113" s="54">
        <f>IF(F113="","",F113-G113)</f>
        <v/>
      </c>
      <c r="J113" s="54">
        <f>IF(OR(D113="",F113=""),"",D113-F113)</f>
        <v/>
      </c>
      <c r="K113" s="56">
        <f>IF(OR(A113="",B113=""),"",IF(D113="",K112,K112*(1+D113)))</f>
        <v/>
      </c>
      <c r="L113" s="56">
        <f>IF(E113="","",IF(F113="",L112,L112*(1+F113)))</f>
        <v/>
      </c>
      <c r="M113" s="33">
        <f>IF(K113="","",K113/MAX(K$6:K113)-1)</f>
        <v/>
      </c>
      <c r="N113" s="33">
        <f>IF(L113="","",L113/MAX(L$6:L113)-1)</f>
        <v/>
      </c>
      <c r="O113" s="57">
        <f>IF(H113="","",MIN(H113,0)^2)</f>
        <v/>
      </c>
      <c r="P113" s="58">
        <f>IF(A113="","",YEAR(A113))</f>
        <v/>
      </c>
      <c r="Q113" s="59">
        <f>IF(D113="","",LN(1+D113))</f>
        <v/>
      </c>
      <c r="R113" s="27" t="n"/>
    </row>
    <row r="114">
      <c r="A114" s="43" t="n"/>
      <c r="B114" s="53" t="n"/>
      <c r="C114" s="32">
        <f>IF(A114="","",SUMIFS(Transactions!$J$6:$J$505,Transactions!$B$6:$B$505,"Deposit",Transactions!$A$6:$A$505,"&gt;"&amp;A113,Transactions!$A$6:$A$505,"&lt;="&amp;A114)-SUMIFS(Transactions!$J$6:$J$505,Transactions!$B$6:$B$505,"Withdrawal",Transactions!$A$6:$A$505,"&gt;"&amp;A113,Transactions!$A$6:$A$505,"&lt;="&amp;A114))</f>
        <v/>
      </c>
      <c r="D114" s="54">
        <f>IF(OR(A114="",B114=""),"",IF(B113="","",(B114-B113-C114)/(B113+0.5*C114)))</f>
        <v/>
      </c>
      <c r="E114" s="30" t="n"/>
      <c r="F114" s="54">
        <f>IF(OR(E114="",E113=""),"",E114/E113-1)</f>
        <v/>
      </c>
      <c r="G114" s="55">
        <f>IF(A114="","",Settings!$B$8/12)</f>
        <v/>
      </c>
      <c r="H114" s="54">
        <f>IF(D114="","",D114-G114)</f>
        <v/>
      </c>
      <c r="I114" s="54">
        <f>IF(F114="","",F114-G114)</f>
        <v/>
      </c>
      <c r="J114" s="54">
        <f>IF(OR(D114="",F114=""),"",D114-F114)</f>
        <v/>
      </c>
      <c r="K114" s="56">
        <f>IF(OR(A114="",B114=""),"",IF(D114="",K113,K113*(1+D114)))</f>
        <v/>
      </c>
      <c r="L114" s="56">
        <f>IF(E114="","",IF(F114="",L113,L113*(1+F114)))</f>
        <v/>
      </c>
      <c r="M114" s="33">
        <f>IF(K114="","",K114/MAX(K$6:K114)-1)</f>
        <v/>
      </c>
      <c r="N114" s="33">
        <f>IF(L114="","",L114/MAX(L$6:L114)-1)</f>
        <v/>
      </c>
      <c r="O114" s="57">
        <f>IF(H114="","",MIN(H114,0)^2)</f>
        <v/>
      </c>
      <c r="P114" s="58">
        <f>IF(A114="","",YEAR(A114))</f>
        <v/>
      </c>
      <c r="Q114" s="59">
        <f>IF(D114="","",LN(1+D114))</f>
        <v/>
      </c>
      <c r="R114" s="27" t="n"/>
    </row>
    <row r="115">
      <c r="A115" s="43" t="n"/>
      <c r="B115" s="53" t="n"/>
      <c r="C115" s="32">
        <f>IF(A115="","",SUMIFS(Transactions!$J$6:$J$505,Transactions!$B$6:$B$505,"Deposit",Transactions!$A$6:$A$505,"&gt;"&amp;A114,Transactions!$A$6:$A$505,"&lt;="&amp;A115)-SUMIFS(Transactions!$J$6:$J$505,Transactions!$B$6:$B$505,"Withdrawal",Transactions!$A$6:$A$505,"&gt;"&amp;A114,Transactions!$A$6:$A$505,"&lt;="&amp;A115))</f>
        <v/>
      </c>
      <c r="D115" s="54">
        <f>IF(OR(A115="",B115=""),"",IF(B114="","",(B115-B114-C115)/(B114+0.5*C115)))</f>
        <v/>
      </c>
      <c r="E115" s="30" t="n"/>
      <c r="F115" s="54">
        <f>IF(OR(E115="",E114=""),"",E115/E114-1)</f>
        <v/>
      </c>
      <c r="G115" s="55">
        <f>IF(A115="","",Settings!$B$8/12)</f>
        <v/>
      </c>
      <c r="H115" s="54">
        <f>IF(D115="","",D115-G115)</f>
        <v/>
      </c>
      <c r="I115" s="54">
        <f>IF(F115="","",F115-G115)</f>
        <v/>
      </c>
      <c r="J115" s="54">
        <f>IF(OR(D115="",F115=""),"",D115-F115)</f>
        <v/>
      </c>
      <c r="K115" s="56">
        <f>IF(OR(A115="",B115=""),"",IF(D115="",K114,K114*(1+D115)))</f>
        <v/>
      </c>
      <c r="L115" s="56">
        <f>IF(E115="","",IF(F115="",L114,L114*(1+F115)))</f>
        <v/>
      </c>
      <c r="M115" s="33">
        <f>IF(K115="","",K115/MAX(K$6:K115)-1)</f>
        <v/>
      </c>
      <c r="N115" s="33">
        <f>IF(L115="","",L115/MAX(L$6:L115)-1)</f>
        <v/>
      </c>
      <c r="O115" s="57">
        <f>IF(H115="","",MIN(H115,0)^2)</f>
        <v/>
      </c>
      <c r="P115" s="58">
        <f>IF(A115="","",YEAR(A115))</f>
        <v/>
      </c>
      <c r="Q115" s="59">
        <f>IF(D115="","",LN(1+D115))</f>
        <v/>
      </c>
      <c r="R115" s="27" t="n"/>
    </row>
    <row r="116">
      <c r="A116" s="43" t="n"/>
      <c r="B116" s="53" t="n"/>
      <c r="C116" s="32">
        <f>IF(A116="","",SUMIFS(Transactions!$J$6:$J$505,Transactions!$B$6:$B$505,"Deposit",Transactions!$A$6:$A$505,"&gt;"&amp;A115,Transactions!$A$6:$A$505,"&lt;="&amp;A116)-SUMIFS(Transactions!$J$6:$J$505,Transactions!$B$6:$B$505,"Withdrawal",Transactions!$A$6:$A$505,"&gt;"&amp;A115,Transactions!$A$6:$A$505,"&lt;="&amp;A116))</f>
        <v/>
      </c>
      <c r="D116" s="54">
        <f>IF(OR(A116="",B116=""),"",IF(B115="","",(B116-B115-C116)/(B115+0.5*C116)))</f>
        <v/>
      </c>
      <c r="E116" s="30" t="n"/>
      <c r="F116" s="54">
        <f>IF(OR(E116="",E115=""),"",E116/E115-1)</f>
        <v/>
      </c>
      <c r="G116" s="55">
        <f>IF(A116="","",Settings!$B$8/12)</f>
        <v/>
      </c>
      <c r="H116" s="54">
        <f>IF(D116="","",D116-G116)</f>
        <v/>
      </c>
      <c r="I116" s="54">
        <f>IF(F116="","",F116-G116)</f>
        <v/>
      </c>
      <c r="J116" s="54">
        <f>IF(OR(D116="",F116=""),"",D116-F116)</f>
        <v/>
      </c>
      <c r="K116" s="56">
        <f>IF(OR(A116="",B116=""),"",IF(D116="",K115,K115*(1+D116)))</f>
        <v/>
      </c>
      <c r="L116" s="56">
        <f>IF(E116="","",IF(F116="",L115,L115*(1+F116)))</f>
        <v/>
      </c>
      <c r="M116" s="33">
        <f>IF(K116="","",K116/MAX(K$6:K116)-1)</f>
        <v/>
      </c>
      <c r="N116" s="33">
        <f>IF(L116="","",L116/MAX(L$6:L116)-1)</f>
        <v/>
      </c>
      <c r="O116" s="57">
        <f>IF(H116="","",MIN(H116,0)^2)</f>
        <v/>
      </c>
      <c r="P116" s="58">
        <f>IF(A116="","",YEAR(A116))</f>
        <v/>
      </c>
      <c r="Q116" s="59">
        <f>IF(D116="","",LN(1+D116))</f>
        <v/>
      </c>
      <c r="R116" s="27" t="n"/>
    </row>
    <row r="117">
      <c r="A117" s="43" t="n"/>
      <c r="B117" s="53" t="n"/>
      <c r="C117" s="32">
        <f>IF(A117="","",SUMIFS(Transactions!$J$6:$J$505,Transactions!$B$6:$B$505,"Deposit",Transactions!$A$6:$A$505,"&gt;"&amp;A116,Transactions!$A$6:$A$505,"&lt;="&amp;A117)-SUMIFS(Transactions!$J$6:$J$505,Transactions!$B$6:$B$505,"Withdrawal",Transactions!$A$6:$A$505,"&gt;"&amp;A116,Transactions!$A$6:$A$505,"&lt;="&amp;A117))</f>
        <v/>
      </c>
      <c r="D117" s="54">
        <f>IF(OR(A117="",B117=""),"",IF(B116="","",(B117-B116-C117)/(B116+0.5*C117)))</f>
        <v/>
      </c>
      <c r="E117" s="30" t="n"/>
      <c r="F117" s="54">
        <f>IF(OR(E117="",E116=""),"",E117/E116-1)</f>
        <v/>
      </c>
      <c r="G117" s="55">
        <f>IF(A117="","",Settings!$B$8/12)</f>
        <v/>
      </c>
      <c r="H117" s="54">
        <f>IF(D117="","",D117-G117)</f>
        <v/>
      </c>
      <c r="I117" s="54">
        <f>IF(F117="","",F117-G117)</f>
        <v/>
      </c>
      <c r="J117" s="54">
        <f>IF(OR(D117="",F117=""),"",D117-F117)</f>
        <v/>
      </c>
      <c r="K117" s="56">
        <f>IF(OR(A117="",B117=""),"",IF(D117="",K116,K116*(1+D117)))</f>
        <v/>
      </c>
      <c r="L117" s="56">
        <f>IF(E117="","",IF(F117="",L116,L116*(1+F117)))</f>
        <v/>
      </c>
      <c r="M117" s="33">
        <f>IF(K117="","",K117/MAX(K$6:K117)-1)</f>
        <v/>
      </c>
      <c r="N117" s="33">
        <f>IF(L117="","",L117/MAX(L$6:L117)-1)</f>
        <v/>
      </c>
      <c r="O117" s="57">
        <f>IF(H117="","",MIN(H117,0)^2)</f>
        <v/>
      </c>
      <c r="P117" s="58">
        <f>IF(A117="","",YEAR(A117))</f>
        <v/>
      </c>
      <c r="Q117" s="59">
        <f>IF(D117="","",LN(1+D117))</f>
        <v/>
      </c>
      <c r="R117" s="27" t="n"/>
    </row>
    <row r="118">
      <c r="A118" s="43" t="n"/>
      <c r="B118" s="53" t="n"/>
      <c r="C118" s="32">
        <f>IF(A118="","",SUMIFS(Transactions!$J$6:$J$505,Transactions!$B$6:$B$505,"Deposit",Transactions!$A$6:$A$505,"&gt;"&amp;A117,Transactions!$A$6:$A$505,"&lt;="&amp;A118)-SUMIFS(Transactions!$J$6:$J$505,Transactions!$B$6:$B$505,"Withdrawal",Transactions!$A$6:$A$505,"&gt;"&amp;A117,Transactions!$A$6:$A$505,"&lt;="&amp;A118))</f>
        <v/>
      </c>
      <c r="D118" s="54">
        <f>IF(OR(A118="",B118=""),"",IF(B117="","",(B118-B117-C118)/(B117+0.5*C118)))</f>
        <v/>
      </c>
      <c r="E118" s="30" t="n"/>
      <c r="F118" s="54">
        <f>IF(OR(E118="",E117=""),"",E118/E117-1)</f>
        <v/>
      </c>
      <c r="G118" s="55">
        <f>IF(A118="","",Settings!$B$8/12)</f>
        <v/>
      </c>
      <c r="H118" s="54">
        <f>IF(D118="","",D118-G118)</f>
        <v/>
      </c>
      <c r="I118" s="54">
        <f>IF(F118="","",F118-G118)</f>
        <v/>
      </c>
      <c r="J118" s="54">
        <f>IF(OR(D118="",F118=""),"",D118-F118)</f>
        <v/>
      </c>
      <c r="K118" s="56">
        <f>IF(OR(A118="",B118=""),"",IF(D118="",K117,K117*(1+D118)))</f>
        <v/>
      </c>
      <c r="L118" s="56">
        <f>IF(E118="","",IF(F118="",L117,L117*(1+F118)))</f>
        <v/>
      </c>
      <c r="M118" s="33">
        <f>IF(K118="","",K118/MAX(K$6:K118)-1)</f>
        <v/>
      </c>
      <c r="N118" s="33">
        <f>IF(L118="","",L118/MAX(L$6:L118)-1)</f>
        <v/>
      </c>
      <c r="O118" s="57">
        <f>IF(H118="","",MIN(H118,0)^2)</f>
        <v/>
      </c>
      <c r="P118" s="58">
        <f>IF(A118="","",YEAR(A118))</f>
        <v/>
      </c>
      <c r="Q118" s="59">
        <f>IF(D118="","",LN(1+D118))</f>
        <v/>
      </c>
      <c r="R118" s="27" t="n"/>
    </row>
    <row r="119">
      <c r="A119" s="43" t="n"/>
      <c r="B119" s="53" t="n"/>
      <c r="C119" s="32">
        <f>IF(A119="","",SUMIFS(Transactions!$J$6:$J$505,Transactions!$B$6:$B$505,"Deposit",Transactions!$A$6:$A$505,"&gt;"&amp;A118,Transactions!$A$6:$A$505,"&lt;="&amp;A119)-SUMIFS(Transactions!$J$6:$J$505,Transactions!$B$6:$B$505,"Withdrawal",Transactions!$A$6:$A$505,"&gt;"&amp;A118,Transactions!$A$6:$A$505,"&lt;="&amp;A119))</f>
        <v/>
      </c>
      <c r="D119" s="54">
        <f>IF(OR(A119="",B119=""),"",IF(B118="","",(B119-B118-C119)/(B118+0.5*C119)))</f>
        <v/>
      </c>
      <c r="E119" s="30" t="n"/>
      <c r="F119" s="54">
        <f>IF(OR(E119="",E118=""),"",E119/E118-1)</f>
        <v/>
      </c>
      <c r="G119" s="55">
        <f>IF(A119="","",Settings!$B$8/12)</f>
        <v/>
      </c>
      <c r="H119" s="54">
        <f>IF(D119="","",D119-G119)</f>
        <v/>
      </c>
      <c r="I119" s="54">
        <f>IF(F119="","",F119-G119)</f>
        <v/>
      </c>
      <c r="J119" s="54">
        <f>IF(OR(D119="",F119=""),"",D119-F119)</f>
        <v/>
      </c>
      <c r="K119" s="56">
        <f>IF(OR(A119="",B119=""),"",IF(D119="",K118,K118*(1+D119)))</f>
        <v/>
      </c>
      <c r="L119" s="56">
        <f>IF(E119="","",IF(F119="",L118,L118*(1+F119)))</f>
        <v/>
      </c>
      <c r="M119" s="33">
        <f>IF(K119="","",K119/MAX(K$6:K119)-1)</f>
        <v/>
      </c>
      <c r="N119" s="33">
        <f>IF(L119="","",L119/MAX(L$6:L119)-1)</f>
        <v/>
      </c>
      <c r="O119" s="57">
        <f>IF(H119="","",MIN(H119,0)^2)</f>
        <v/>
      </c>
      <c r="P119" s="58">
        <f>IF(A119="","",YEAR(A119))</f>
        <v/>
      </c>
      <c r="Q119" s="59">
        <f>IF(D119="","",LN(1+D119))</f>
        <v/>
      </c>
      <c r="R119" s="27" t="n"/>
    </row>
    <row r="120">
      <c r="A120" s="43" t="n"/>
      <c r="B120" s="53" t="n"/>
      <c r="C120" s="32">
        <f>IF(A120="","",SUMIFS(Transactions!$J$6:$J$505,Transactions!$B$6:$B$505,"Deposit",Transactions!$A$6:$A$505,"&gt;"&amp;A119,Transactions!$A$6:$A$505,"&lt;="&amp;A120)-SUMIFS(Transactions!$J$6:$J$505,Transactions!$B$6:$B$505,"Withdrawal",Transactions!$A$6:$A$505,"&gt;"&amp;A119,Transactions!$A$6:$A$505,"&lt;="&amp;A120))</f>
        <v/>
      </c>
      <c r="D120" s="54">
        <f>IF(OR(A120="",B120=""),"",IF(B119="","",(B120-B119-C120)/(B119+0.5*C120)))</f>
        <v/>
      </c>
      <c r="E120" s="30" t="n"/>
      <c r="F120" s="54">
        <f>IF(OR(E120="",E119=""),"",E120/E119-1)</f>
        <v/>
      </c>
      <c r="G120" s="55">
        <f>IF(A120="","",Settings!$B$8/12)</f>
        <v/>
      </c>
      <c r="H120" s="54">
        <f>IF(D120="","",D120-G120)</f>
        <v/>
      </c>
      <c r="I120" s="54">
        <f>IF(F120="","",F120-G120)</f>
        <v/>
      </c>
      <c r="J120" s="54">
        <f>IF(OR(D120="",F120=""),"",D120-F120)</f>
        <v/>
      </c>
      <c r="K120" s="56">
        <f>IF(OR(A120="",B120=""),"",IF(D120="",K119,K119*(1+D120)))</f>
        <v/>
      </c>
      <c r="L120" s="56">
        <f>IF(E120="","",IF(F120="",L119,L119*(1+F120)))</f>
        <v/>
      </c>
      <c r="M120" s="33">
        <f>IF(K120="","",K120/MAX(K$6:K120)-1)</f>
        <v/>
      </c>
      <c r="N120" s="33">
        <f>IF(L120="","",L120/MAX(L$6:L120)-1)</f>
        <v/>
      </c>
      <c r="O120" s="57">
        <f>IF(H120="","",MIN(H120,0)^2)</f>
        <v/>
      </c>
      <c r="P120" s="58">
        <f>IF(A120="","",YEAR(A120))</f>
        <v/>
      </c>
      <c r="Q120" s="59">
        <f>IF(D120="","",LN(1+D120))</f>
        <v/>
      </c>
      <c r="R120" s="27" t="n"/>
    </row>
    <row r="121">
      <c r="A121" s="43" t="n"/>
      <c r="B121" s="53" t="n"/>
      <c r="C121" s="32">
        <f>IF(A121="","",SUMIFS(Transactions!$J$6:$J$505,Transactions!$B$6:$B$505,"Deposit",Transactions!$A$6:$A$505,"&gt;"&amp;A120,Transactions!$A$6:$A$505,"&lt;="&amp;A121)-SUMIFS(Transactions!$J$6:$J$505,Transactions!$B$6:$B$505,"Withdrawal",Transactions!$A$6:$A$505,"&gt;"&amp;A120,Transactions!$A$6:$A$505,"&lt;="&amp;A121))</f>
        <v/>
      </c>
      <c r="D121" s="54">
        <f>IF(OR(A121="",B121=""),"",IF(B120="","",(B121-B120-C121)/(B120+0.5*C121)))</f>
        <v/>
      </c>
      <c r="E121" s="30" t="n"/>
      <c r="F121" s="54">
        <f>IF(OR(E121="",E120=""),"",E121/E120-1)</f>
        <v/>
      </c>
      <c r="G121" s="55">
        <f>IF(A121="","",Settings!$B$8/12)</f>
        <v/>
      </c>
      <c r="H121" s="54">
        <f>IF(D121="","",D121-G121)</f>
        <v/>
      </c>
      <c r="I121" s="54">
        <f>IF(F121="","",F121-G121)</f>
        <v/>
      </c>
      <c r="J121" s="54">
        <f>IF(OR(D121="",F121=""),"",D121-F121)</f>
        <v/>
      </c>
      <c r="K121" s="56">
        <f>IF(OR(A121="",B121=""),"",IF(D121="",K120,K120*(1+D121)))</f>
        <v/>
      </c>
      <c r="L121" s="56">
        <f>IF(E121="","",IF(F121="",L120,L120*(1+F121)))</f>
        <v/>
      </c>
      <c r="M121" s="33">
        <f>IF(K121="","",K121/MAX(K$6:K121)-1)</f>
        <v/>
      </c>
      <c r="N121" s="33">
        <f>IF(L121="","",L121/MAX(L$6:L121)-1)</f>
        <v/>
      </c>
      <c r="O121" s="57">
        <f>IF(H121="","",MIN(H121,0)^2)</f>
        <v/>
      </c>
      <c r="P121" s="58">
        <f>IF(A121="","",YEAR(A121))</f>
        <v/>
      </c>
      <c r="Q121" s="59">
        <f>IF(D121="","",LN(1+D121))</f>
        <v/>
      </c>
      <c r="R121" s="27" t="n"/>
    </row>
    <row r="122">
      <c r="A122" s="43" t="n"/>
      <c r="B122" s="53" t="n"/>
      <c r="C122" s="32">
        <f>IF(A122="","",SUMIFS(Transactions!$J$6:$J$505,Transactions!$B$6:$B$505,"Deposit",Transactions!$A$6:$A$505,"&gt;"&amp;A121,Transactions!$A$6:$A$505,"&lt;="&amp;A122)-SUMIFS(Transactions!$J$6:$J$505,Transactions!$B$6:$B$505,"Withdrawal",Transactions!$A$6:$A$505,"&gt;"&amp;A121,Transactions!$A$6:$A$505,"&lt;="&amp;A122))</f>
        <v/>
      </c>
      <c r="D122" s="54">
        <f>IF(OR(A122="",B122=""),"",IF(B121="","",(B122-B121-C122)/(B121+0.5*C122)))</f>
        <v/>
      </c>
      <c r="E122" s="30" t="n"/>
      <c r="F122" s="54">
        <f>IF(OR(E122="",E121=""),"",E122/E121-1)</f>
        <v/>
      </c>
      <c r="G122" s="55">
        <f>IF(A122="","",Settings!$B$8/12)</f>
        <v/>
      </c>
      <c r="H122" s="54">
        <f>IF(D122="","",D122-G122)</f>
        <v/>
      </c>
      <c r="I122" s="54">
        <f>IF(F122="","",F122-G122)</f>
        <v/>
      </c>
      <c r="J122" s="54">
        <f>IF(OR(D122="",F122=""),"",D122-F122)</f>
        <v/>
      </c>
      <c r="K122" s="56">
        <f>IF(OR(A122="",B122=""),"",IF(D122="",K121,K121*(1+D122)))</f>
        <v/>
      </c>
      <c r="L122" s="56">
        <f>IF(E122="","",IF(F122="",L121,L121*(1+F122)))</f>
        <v/>
      </c>
      <c r="M122" s="33">
        <f>IF(K122="","",K122/MAX(K$6:K122)-1)</f>
        <v/>
      </c>
      <c r="N122" s="33">
        <f>IF(L122="","",L122/MAX(L$6:L122)-1)</f>
        <v/>
      </c>
      <c r="O122" s="57">
        <f>IF(H122="","",MIN(H122,0)^2)</f>
        <v/>
      </c>
      <c r="P122" s="58">
        <f>IF(A122="","",YEAR(A122))</f>
        <v/>
      </c>
      <c r="Q122" s="59">
        <f>IF(D122="","",LN(1+D122))</f>
        <v/>
      </c>
      <c r="R122" s="27" t="n"/>
    </row>
    <row r="123">
      <c r="A123" s="43" t="n"/>
      <c r="B123" s="53" t="n"/>
      <c r="C123" s="32">
        <f>IF(A123="","",SUMIFS(Transactions!$J$6:$J$505,Transactions!$B$6:$B$505,"Deposit",Transactions!$A$6:$A$505,"&gt;"&amp;A122,Transactions!$A$6:$A$505,"&lt;="&amp;A123)-SUMIFS(Transactions!$J$6:$J$505,Transactions!$B$6:$B$505,"Withdrawal",Transactions!$A$6:$A$505,"&gt;"&amp;A122,Transactions!$A$6:$A$505,"&lt;="&amp;A123))</f>
        <v/>
      </c>
      <c r="D123" s="54">
        <f>IF(OR(A123="",B123=""),"",IF(B122="","",(B123-B122-C123)/(B122+0.5*C123)))</f>
        <v/>
      </c>
      <c r="E123" s="30" t="n"/>
      <c r="F123" s="54">
        <f>IF(OR(E123="",E122=""),"",E123/E122-1)</f>
        <v/>
      </c>
      <c r="G123" s="55">
        <f>IF(A123="","",Settings!$B$8/12)</f>
        <v/>
      </c>
      <c r="H123" s="54">
        <f>IF(D123="","",D123-G123)</f>
        <v/>
      </c>
      <c r="I123" s="54">
        <f>IF(F123="","",F123-G123)</f>
        <v/>
      </c>
      <c r="J123" s="54">
        <f>IF(OR(D123="",F123=""),"",D123-F123)</f>
        <v/>
      </c>
      <c r="K123" s="56">
        <f>IF(OR(A123="",B123=""),"",IF(D123="",K122,K122*(1+D123)))</f>
        <v/>
      </c>
      <c r="L123" s="56">
        <f>IF(E123="","",IF(F123="",L122,L122*(1+F123)))</f>
        <v/>
      </c>
      <c r="M123" s="33">
        <f>IF(K123="","",K123/MAX(K$6:K123)-1)</f>
        <v/>
      </c>
      <c r="N123" s="33">
        <f>IF(L123="","",L123/MAX(L$6:L123)-1)</f>
        <v/>
      </c>
      <c r="O123" s="57">
        <f>IF(H123="","",MIN(H123,0)^2)</f>
        <v/>
      </c>
      <c r="P123" s="58">
        <f>IF(A123="","",YEAR(A123))</f>
        <v/>
      </c>
      <c r="Q123" s="59">
        <f>IF(D123="","",LN(1+D123))</f>
        <v/>
      </c>
      <c r="R123" s="27" t="n"/>
    </row>
    <row r="124">
      <c r="A124" s="43" t="n"/>
      <c r="B124" s="53" t="n"/>
      <c r="C124" s="32">
        <f>IF(A124="","",SUMIFS(Transactions!$J$6:$J$505,Transactions!$B$6:$B$505,"Deposit",Transactions!$A$6:$A$505,"&gt;"&amp;A123,Transactions!$A$6:$A$505,"&lt;="&amp;A124)-SUMIFS(Transactions!$J$6:$J$505,Transactions!$B$6:$B$505,"Withdrawal",Transactions!$A$6:$A$505,"&gt;"&amp;A123,Transactions!$A$6:$A$505,"&lt;="&amp;A124))</f>
        <v/>
      </c>
      <c r="D124" s="54">
        <f>IF(OR(A124="",B124=""),"",IF(B123="","",(B124-B123-C124)/(B123+0.5*C124)))</f>
        <v/>
      </c>
      <c r="E124" s="30" t="n"/>
      <c r="F124" s="54">
        <f>IF(OR(E124="",E123=""),"",E124/E123-1)</f>
        <v/>
      </c>
      <c r="G124" s="55">
        <f>IF(A124="","",Settings!$B$8/12)</f>
        <v/>
      </c>
      <c r="H124" s="54">
        <f>IF(D124="","",D124-G124)</f>
        <v/>
      </c>
      <c r="I124" s="54">
        <f>IF(F124="","",F124-G124)</f>
        <v/>
      </c>
      <c r="J124" s="54">
        <f>IF(OR(D124="",F124=""),"",D124-F124)</f>
        <v/>
      </c>
      <c r="K124" s="56">
        <f>IF(OR(A124="",B124=""),"",IF(D124="",K123,K123*(1+D124)))</f>
        <v/>
      </c>
      <c r="L124" s="56">
        <f>IF(E124="","",IF(F124="",L123,L123*(1+F124)))</f>
        <v/>
      </c>
      <c r="M124" s="33">
        <f>IF(K124="","",K124/MAX(K$6:K124)-1)</f>
        <v/>
      </c>
      <c r="N124" s="33">
        <f>IF(L124="","",L124/MAX(L$6:L124)-1)</f>
        <v/>
      </c>
      <c r="O124" s="57">
        <f>IF(H124="","",MIN(H124,0)^2)</f>
        <v/>
      </c>
      <c r="P124" s="58">
        <f>IF(A124="","",YEAR(A124))</f>
        <v/>
      </c>
      <c r="Q124" s="59">
        <f>IF(D124="","",LN(1+D124))</f>
        <v/>
      </c>
      <c r="R124" s="27" t="n"/>
    </row>
    <row r="125">
      <c r="A125" s="43" t="n"/>
      <c r="B125" s="53" t="n"/>
      <c r="C125" s="32">
        <f>IF(A125="","",SUMIFS(Transactions!$J$6:$J$505,Transactions!$B$6:$B$505,"Deposit",Transactions!$A$6:$A$505,"&gt;"&amp;A124,Transactions!$A$6:$A$505,"&lt;="&amp;A125)-SUMIFS(Transactions!$J$6:$J$505,Transactions!$B$6:$B$505,"Withdrawal",Transactions!$A$6:$A$505,"&gt;"&amp;A124,Transactions!$A$6:$A$505,"&lt;="&amp;A125))</f>
        <v/>
      </c>
      <c r="D125" s="54">
        <f>IF(OR(A125="",B125=""),"",IF(B124="","",(B125-B124-C125)/(B124+0.5*C125)))</f>
        <v/>
      </c>
      <c r="E125" s="30" t="n"/>
      <c r="F125" s="54">
        <f>IF(OR(E125="",E124=""),"",E125/E124-1)</f>
        <v/>
      </c>
      <c r="G125" s="55">
        <f>IF(A125="","",Settings!$B$8/12)</f>
        <v/>
      </c>
      <c r="H125" s="54">
        <f>IF(D125="","",D125-G125)</f>
        <v/>
      </c>
      <c r="I125" s="54">
        <f>IF(F125="","",F125-G125)</f>
        <v/>
      </c>
      <c r="J125" s="54">
        <f>IF(OR(D125="",F125=""),"",D125-F125)</f>
        <v/>
      </c>
      <c r="K125" s="56">
        <f>IF(OR(A125="",B125=""),"",IF(D125="",K124,K124*(1+D125)))</f>
        <v/>
      </c>
      <c r="L125" s="56">
        <f>IF(E125="","",IF(F125="",L124,L124*(1+F125)))</f>
        <v/>
      </c>
      <c r="M125" s="33">
        <f>IF(K125="","",K125/MAX(K$6:K125)-1)</f>
        <v/>
      </c>
      <c r="N125" s="33">
        <f>IF(L125="","",L125/MAX(L$6:L125)-1)</f>
        <v/>
      </c>
      <c r="O125" s="57">
        <f>IF(H125="","",MIN(H125,0)^2)</f>
        <v/>
      </c>
      <c r="P125" s="58">
        <f>IF(A125="","",YEAR(A125))</f>
        <v/>
      </c>
      <c r="Q125" s="59">
        <f>IF(D125="","",LN(1+D125))</f>
        <v/>
      </c>
      <c r="R125" s="27" t="n"/>
    </row>
    <row r="126">
      <c r="A126" s="43" t="n"/>
      <c r="B126" s="53" t="n"/>
      <c r="C126" s="32">
        <f>IF(A126="","",SUMIFS(Transactions!$J$6:$J$505,Transactions!$B$6:$B$505,"Deposit",Transactions!$A$6:$A$505,"&gt;"&amp;A125,Transactions!$A$6:$A$505,"&lt;="&amp;A126)-SUMIFS(Transactions!$J$6:$J$505,Transactions!$B$6:$B$505,"Withdrawal",Transactions!$A$6:$A$505,"&gt;"&amp;A125,Transactions!$A$6:$A$505,"&lt;="&amp;A126))</f>
        <v/>
      </c>
      <c r="D126" s="54">
        <f>IF(OR(A126="",B126=""),"",IF(B125="","",(B126-B125-C126)/(B125+0.5*C126)))</f>
        <v/>
      </c>
      <c r="E126" s="30" t="n"/>
      <c r="F126" s="54">
        <f>IF(OR(E126="",E125=""),"",E126/E125-1)</f>
        <v/>
      </c>
      <c r="G126" s="55">
        <f>IF(A126="","",Settings!$B$8/12)</f>
        <v/>
      </c>
      <c r="H126" s="54">
        <f>IF(D126="","",D126-G126)</f>
        <v/>
      </c>
      <c r="I126" s="54">
        <f>IF(F126="","",F126-G126)</f>
        <v/>
      </c>
      <c r="J126" s="54">
        <f>IF(OR(D126="",F126=""),"",D126-F126)</f>
        <v/>
      </c>
      <c r="K126" s="56">
        <f>IF(OR(A126="",B126=""),"",IF(D126="",K125,K125*(1+D126)))</f>
        <v/>
      </c>
      <c r="L126" s="56">
        <f>IF(E126="","",IF(F126="",L125,L125*(1+F126)))</f>
        <v/>
      </c>
      <c r="M126" s="33">
        <f>IF(K126="","",K126/MAX(K$6:K126)-1)</f>
        <v/>
      </c>
      <c r="N126" s="33">
        <f>IF(L126="","",L126/MAX(L$6:L126)-1)</f>
        <v/>
      </c>
      <c r="O126" s="57">
        <f>IF(H126="","",MIN(H126,0)^2)</f>
        <v/>
      </c>
      <c r="P126" s="58">
        <f>IF(A126="","",YEAR(A126))</f>
        <v/>
      </c>
      <c r="Q126" s="59">
        <f>IF(D126="","",LN(1+D126))</f>
        <v/>
      </c>
      <c r="R126" s="27" t="n"/>
    </row>
    <row r="127">
      <c r="A127" s="43" t="n"/>
      <c r="B127" s="53" t="n"/>
      <c r="C127" s="32">
        <f>IF(A127="","",SUMIFS(Transactions!$J$6:$J$505,Transactions!$B$6:$B$505,"Deposit",Transactions!$A$6:$A$505,"&gt;"&amp;A126,Transactions!$A$6:$A$505,"&lt;="&amp;A127)-SUMIFS(Transactions!$J$6:$J$505,Transactions!$B$6:$B$505,"Withdrawal",Transactions!$A$6:$A$505,"&gt;"&amp;A126,Transactions!$A$6:$A$505,"&lt;="&amp;A127))</f>
        <v/>
      </c>
      <c r="D127" s="54">
        <f>IF(OR(A127="",B127=""),"",IF(B126="","",(B127-B126-C127)/(B126+0.5*C127)))</f>
        <v/>
      </c>
      <c r="E127" s="30" t="n"/>
      <c r="F127" s="54">
        <f>IF(OR(E127="",E126=""),"",E127/E126-1)</f>
        <v/>
      </c>
      <c r="G127" s="55">
        <f>IF(A127="","",Settings!$B$8/12)</f>
        <v/>
      </c>
      <c r="H127" s="54">
        <f>IF(D127="","",D127-G127)</f>
        <v/>
      </c>
      <c r="I127" s="54">
        <f>IF(F127="","",F127-G127)</f>
        <v/>
      </c>
      <c r="J127" s="54">
        <f>IF(OR(D127="",F127=""),"",D127-F127)</f>
        <v/>
      </c>
      <c r="K127" s="56">
        <f>IF(OR(A127="",B127=""),"",IF(D127="",K126,K126*(1+D127)))</f>
        <v/>
      </c>
      <c r="L127" s="56">
        <f>IF(E127="","",IF(F127="",L126,L126*(1+F127)))</f>
        <v/>
      </c>
      <c r="M127" s="33">
        <f>IF(K127="","",K127/MAX(K$6:K127)-1)</f>
        <v/>
      </c>
      <c r="N127" s="33">
        <f>IF(L127="","",L127/MAX(L$6:L127)-1)</f>
        <v/>
      </c>
      <c r="O127" s="57">
        <f>IF(H127="","",MIN(H127,0)^2)</f>
        <v/>
      </c>
      <c r="P127" s="58">
        <f>IF(A127="","",YEAR(A127))</f>
        <v/>
      </c>
      <c r="Q127" s="59">
        <f>IF(D127="","",LN(1+D127))</f>
        <v/>
      </c>
      <c r="R127" s="27" t="n"/>
    </row>
    <row r="128">
      <c r="A128" s="43" t="n"/>
      <c r="B128" s="53" t="n"/>
      <c r="C128" s="32">
        <f>IF(A128="","",SUMIFS(Transactions!$J$6:$J$505,Transactions!$B$6:$B$505,"Deposit",Transactions!$A$6:$A$505,"&gt;"&amp;A127,Transactions!$A$6:$A$505,"&lt;="&amp;A128)-SUMIFS(Transactions!$J$6:$J$505,Transactions!$B$6:$B$505,"Withdrawal",Transactions!$A$6:$A$505,"&gt;"&amp;A127,Transactions!$A$6:$A$505,"&lt;="&amp;A128))</f>
        <v/>
      </c>
      <c r="D128" s="54">
        <f>IF(OR(A128="",B128=""),"",IF(B127="","",(B128-B127-C128)/(B127+0.5*C128)))</f>
        <v/>
      </c>
      <c r="E128" s="30" t="n"/>
      <c r="F128" s="54">
        <f>IF(OR(E128="",E127=""),"",E128/E127-1)</f>
        <v/>
      </c>
      <c r="G128" s="55">
        <f>IF(A128="","",Settings!$B$8/12)</f>
        <v/>
      </c>
      <c r="H128" s="54">
        <f>IF(D128="","",D128-G128)</f>
        <v/>
      </c>
      <c r="I128" s="54">
        <f>IF(F128="","",F128-G128)</f>
        <v/>
      </c>
      <c r="J128" s="54">
        <f>IF(OR(D128="",F128=""),"",D128-F128)</f>
        <v/>
      </c>
      <c r="K128" s="56">
        <f>IF(OR(A128="",B128=""),"",IF(D128="",K127,K127*(1+D128)))</f>
        <v/>
      </c>
      <c r="L128" s="56">
        <f>IF(E128="","",IF(F128="",L127,L127*(1+F128)))</f>
        <v/>
      </c>
      <c r="M128" s="33">
        <f>IF(K128="","",K128/MAX(K$6:K128)-1)</f>
        <v/>
      </c>
      <c r="N128" s="33">
        <f>IF(L128="","",L128/MAX(L$6:L128)-1)</f>
        <v/>
      </c>
      <c r="O128" s="57">
        <f>IF(H128="","",MIN(H128,0)^2)</f>
        <v/>
      </c>
      <c r="P128" s="58">
        <f>IF(A128="","",YEAR(A128))</f>
        <v/>
      </c>
      <c r="Q128" s="59">
        <f>IF(D128="","",LN(1+D128))</f>
        <v/>
      </c>
      <c r="R128" s="27" t="n"/>
    </row>
    <row r="129">
      <c r="A129" s="43" t="n"/>
      <c r="B129" s="53" t="n"/>
      <c r="C129" s="32">
        <f>IF(A129="","",SUMIFS(Transactions!$J$6:$J$505,Transactions!$B$6:$B$505,"Deposit",Transactions!$A$6:$A$505,"&gt;"&amp;A128,Transactions!$A$6:$A$505,"&lt;="&amp;A129)-SUMIFS(Transactions!$J$6:$J$505,Transactions!$B$6:$B$505,"Withdrawal",Transactions!$A$6:$A$505,"&gt;"&amp;A128,Transactions!$A$6:$A$505,"&lt;="&amp;A129))</f>
        <v/>
      </c>
      <c r="D129" s="54">
        <f>IF(OR(A129="",B129=""),"",IF(B128="","",(B129-B128-C129)/(B128+0.5*C129)))</f>
        <v/>
      </c>
      <c r="E129" s="30" t="n"/>
      <c r="F129" s="54">
        <f>IF(OR(E129="",E128=""),"",E129/E128-1)</f>
        <v/>
      </c>
      <c r="G129" s="55">
        <f>IF(A129="","",Settings!$B$8/12)</f>
        <v/>
      </c>
      <c r="H129" s="54">
        <f>IF(D129="","",D129-G129)</f>
        <v/>
      </c>
      <c r="I129" s="54">
        <f>IF(F129="","",F129-G129)</f>
        <v/>
      </c>
      <c r="J129" s="54">
        <f>IF(OR(D129="",F129=""),"",D129-F129)</f>
        <v/>
      </c>
      <c r="K129" s="56">
        <f>IF(OR(A129="",B129=""),"",IF(D129="",K128,K128*(1+D129)))</f>
        <v/>
      </c>
      <c r="L129" s="56">
        <f>IF(E129="","",IF(F129="",L128,L128*(1+F129)))</f>
        <v/>
      </c>
      <c r="M129" s="33">
        <f>IF(K129="","",K129/MAX(K$6:K129)-1)</f>
        <v/>
      </c>
      <c r="N129" s="33">
        <f>IF(L129="","",L129/MAX(L$6:L129)-1)</f>
        <v/>
      </c>
      <c r="O129" s="57">
        <f>IF(H129="","",MIN(H129,0)^2)</f>
        <v/>
      </c>
      <c r="P129" s="58">
        <f>IF(A129="","",YEAR(A129))</f>
        <v/>
      </c>
      <c r="Q129" s="59">
        <f>IF(D129="","",LN(1+D129))</f>
        <v/>
      </c>
      <c r="R129" s="27" t="n"/>
    </row>
    <row r="130">
      <c r="A130" s="43" t="n"/>
      <c r="B130" s="53" t="n"/>
      <c r="C130" s="32">
        <f>IF(A130="","",SUMIFS(Transactions!$J$6:$J$505,Transactions!$B$6:$B$505,"Deposit",Transactions!$A$6:$A$505,"&gt;"&amp;A129,Transactions!$A$6:$A$505,"&lt;="&amp;A130)-SUMIFS(Transactions!$J$6:$J$505,Transactions!$B$6:$B$505,"Withdrawal",Transactions!$A$6:$A$505,"&gt;"&amp;A129,Transactions!$A$6:$A$505,"&lt;="&amp;A130))</f>
        <v/>
      </c>
      <c r="D130" s="54">
        <f>IF(OR(A130="",B130=""),"",IF(B129="","",(B130-B129-C130)/(B129+0.5*C130)))</f>
        <v/>
      </c>
      <c r="E130" s="30" t="n"/>
      <c r="F130" s="54">
        <f>IF(OR(E130="",E129=""),"",E130/E129-1)</f>
        <v/>
      </c>
      <c r="G130" s="55">
        <f>IF(A130="","",Settings!$B$8/12)</f>
        <v/>
      </c>
      <c r="H130" s="54">
        <f>IF(D130="","",D130-G130)</f>
        <v/>
      </c>
      <c r="I130" s="54">
        <f>IF(F130="","",F130-G130)</f>
        <v/>
      </c>
      <c r="J130" s="54">
        <f>IF(OR(D130="",F130=""),"",D130-F130)</f>
        <v/>
      </c>
      <c r="K130" s="56">
        <f>IF(OR(A130="",B130=""),"",IF(D130="",K129,K129*(1+D130)))</f>
        <v/>
      </c>
      <c r="L130" s="56">
        <f>IF(E130="","",IF(F130="",L129,L129*(1+F130)))</f>
        <v/>
      </c>
      <c r="M130" s="33">
        <f>IF(K130="","",K130/MAX(K$6:K130)-1)</f>
        <v/>
      </c>
      <c r="N130" s="33">
        <f>IF(L130="","",L130/MAX(L$6:L130)-1)</f>
        <v/>
      </c>
      <c r="O130" s="57">
        <f>IF(H130="","",MIN(H130,0)^2)</f>
        <v/>
      </c>
      <c r="P130" s="58">
        <f>IF(A130="","",YEAR(A130))</f>
        <v/>
      </c>
      <c r="Q130" s="59">
        <f>IF(D130="","",LN(1+D130))</f>
        <v/>
      </c>
      <c r="R130" s="27" t="n"/>
    </row>
    <row r="131">
      <c r="A131" s="43" t="n"/>
      <c r="B131" s="53" t="n"/>
      <c r="C131" s="32">
        <f>IF(A131="","",SUMIFS(Transactions!$J$6:$J$505,Transactions!$B$6:$B$505,"Deposit",Transactions!$A$6:$A$505,"&gt;"&amp;A130,Transactions!$A$6:$A$505,"&lt;="&amp;A131)-SUMIFS(Transactions!$J$6:$J$505,Transactions!$B$6:$B$505,"Withdrawal",Transactions!$A$6:$A$505,"&gt;"&amp;A130,Transactions!$A$6:$A$505,"&lt;="&amp;A131))</f>
        <v/>
      </c>
      <c r="D131" s="54">
        <f>IF(OR(A131="",B131=""),"",IF(B130="","",(B131-B130-C131)/(B130+0.5*C131)))</f>
        <v/>
      </c>
      <c r="E131" s="30" t="n"/>
      <c r="F131" s="54">
        <f>IF(OR(E131="",E130=""),"",E131/E130-1)</f>
        <v/>
      </c>
      <c r="G131" s="55">
        <f>IF(A131="","",Settings!$B$8/12)</f>
        <v/>
      </c>
      <c r="H131" s="54">
        <f>IF(D131="","",D131-G131)</f>
        <v/>
      </c>
      <c r="I131" s="54">
        <f>IF(F131="","",F131-G131)</f>
        <v/>
      </c>
      <c r="J131" s="54">
        <f>IF(OR(D131="",F131=""),"",D131-F131)</f>
        <v/>
      </c>
      <c r="K131" s="56">
        <f>IF(OR(A131="",B131=""),"",IF(D131="",K130,K130*(1+D131)))</f>
        <v/>
      </c>
      <c r="L131" s="56">
        <f>IF(E131="","",IF(F131="",L130,L130*(1+F131)))</f>
        <v/>
      </c>
      <c r="M131" s="33">
        <f>IF(K131="","",K131/MAX(K$6:K131)-1)</f>
        <v/>
      </c>
      <c r="N131" s="33">
        <f>IF(L131="","",L131/MAX(L$6:L131)-1)</f>
        <v/>
      </c>
      <c r="O131" s="57">
        <f>IF(H131="","",MIN(H131,0)^2)</f>
        <v/>
      </c>
      <c r="P131" s="58">
        <f>IF(A131="","",YEAR(A131))</f>
        <v/>
      </c>
      <c r="Q131" s="59">
        <f>IF(D131="","",LN(1+D131))</f>
        <v/>
      </c>
      <c r="R131" s="27" t="n"/>
    </row>
    <row r="132">
      <c r="A132" s="43" t="n"/>
      <c r="B132" s="53" t="n"/>
      <c r="C132" s="32">
        <f>IF(A132="","",SUMIFS(Transactions!$J$6:$J$505,Transactions!$B$6:$B$505,"Deposit",Transactions!$A$6:$A$505,"&gt;"&amp;A131,Transactions!$A$6:$A$505,"&lt;="&amp;A132)-SUMIFS(Transactions!$J$6:$J$505,Transactions!$B$6:$B$505,"Withdrawal",Transactions!$A$6:$A$505,"&gt;"&amp;A131,Transactions!$A$6:$A$505,"&lt;="&amp;A132))</f>
        <v/>
      </c>
      <c r="D132" s="54">
        <f>IF(OR(A132="",B132=""),"",IF(B131="","",(B132-B131-C132)/(B131+0.5*C132)))</f>
        <v/>
      </c>
      <c r="E132" s="30" t="n"/>
      <c r="F132" s="54">
        <f>IF(OR(E132="",E131=""),"",E132/E131-1)</f>
        <v/>
      </c>
      <c r="G132" s="55">
        <f>IF(A132="","",Settings!$B$8/12)</f>
        <v/>
      </c>
      <c r="H132" s="54">
        <f>IF(D132="","",D132-G132)</f>
        <v/>
      </c>
      <c r="I132" s="54">
        <f>IF(F132="","",F132-G132)</f>
        <v/>
      </c>
      <c r="J132" s="54">
        <f>IF(OR(D132="",F132=""),"",D132-F132)</f>
        <v/>
      </c>
      <c r="K132" s="56">
        <f>IF(OR(A132="",B132=""),"",IF(D132="",K131,K131*(1+D132)))</f>
        <v/>
      </c>
      <c r="L132" s="56">
        <f>IF(E132="","",IF(F132="",L131,L131*(1+F132)))</f>
        <v/>
      </c>
      <c r="M132" s="33">
        <f>IF(K132="","",K132/MAX(K$6:K132)-1)</f>
        <v/>
      </c>
      <c r="N132" s="33">
        <f>IF(L132="","",L132/MAX(L$6:L132)-1)</f>
        <v/>
      </c>
      <c r="O132" s="57">
        <f>IF(H132="","",MIN(H132,0)^2)</f>
        <v/>
      </c>
      <c r="P132" s="58">
        <f>IF(A132="","",YEAR(A132))</f>
        <v/>
      </c>
      <c r="Q132" s="59">
        <f>IF(D132="","",LN(1+D132))</f>
        <v/>
      </c>
      <c r="R132" s="27" t="n"/>
    </row>
    <row r="133">
      <c r="A133" s="43" t="n"/>
      <c r="B133" s="53" t="n"/>
      <c r="C133" s="32">
        <f>IF(A133="","",SUMIFS(Transactions!$J$6:$J$505,Transactions!$B$6:$B$505,"Deposit",Transactions!$A$6:$A$505,"&gt;"&amp;A132,Transactions!$A$6:$A$505,"&lt;="&amp;A133)-SUMIFS(Transactions!$J$6:$J$505,Transactions!$B$6:$B$505,"Withdrawal",Transactions!$A$6:$A$505,"&gt;"&amp;A132,Transactions!$A$6:$A$505,"&lt;="&amp;A133))</f>
        <v/>
      </c>
      <c r="D133" s="54">
        <f>IF(OR(A133="",B133=""),"",IF(B132="","",(B133-B132-C133)/(B132+0.5*C133)))</f>
        <v/>
      </c>
      <c r="E133" s="30" t="n"/>
      <c r="F133" s="54">
        <f>IF(OR(E133="",E132=""),"",E133/E132-1)</f>
        <v/>
      </c>
      <c r="G133" s="55">
        <f>IF(A133="","",Settings!$B$8/12)</f>
        <v/>
      </c>
      <c r="H133" s="54">
        <f>IF(D133="","",D133-G133)</f>
        <v/>
      </c>
      <c r="I133" s="54">
        <f>IF(F133="","",F133-G133)</f>
        <v/>
      </c>
      <c r="J133" s="54">
        <f>IF(OR(D133="",F133=""),"",D133-F133)</f>
        <v/>
      </c>
      <c r="K133" s="56">
        <f>IF(OR(A133="",B133=""),"",IF(D133="",K132,K132*(1+D133)))</f>
        <v/>
      </c>
      <c r="L133" s="56">
        <f>IF(E133="","",IF(F133="",L132,L132*(1+F133)))</f>
        <v/>
      </c>
      <c r="M133" s="33">
        <f>IF(K133="","",K133/MAX(K$6:K133)-1)</f>
        <v/>
      </c>
      <c r="N133" s="33">
        <f>IF(L133="","",L133/MAX(L$6:L133)-1)</f>
        <v/>
      </c>
      <c r="O133" s="57">
        <f>IF(H133="","",MIN(H133,0)^2)</f>
        <v/>
      </c>
      <c r="P133" s="58">
        <f>IF(A133="","",YEAR(A133))</f>
        <v/>
      </c>
      <c r="Q133" s="59">
        <f>IF(D133="","",LN(1+D133))</f>
        <v/>
      </c>
      <c r="R133" s="27" t="n"/>
    </row>
    <row r="134">
      <c r="A134" s="43" t="n"/>
      <c r="B134" s="53" t="n"/>
      <c r="C134" s="32">
        <f>IF(A134="","",SUMIFS(Transactions!$J$6:$J$505,Transactions!$B$6:$B$505,"Deposit",Transactions!$A$6:$A$505,"&gt;"&amp;A133,Transactions!$A$6:$A$505,"&lt;="&amp;A134)-SUMIFS(Transactions!$J$6:$J$505,Transactions!$B$6:$B$505,"Withdrawal",Transactions!$A$6:$A$505,"&gt;"&amp;A133,Transactions!$A$6:$A$505,"&lt;="&amp;A134))</f>
        <v/>
      </c>
      <c r="D134" s="54">
        <f>IF(OR(A134="",B134=""),"",IF(B133="","",(B134-B133-C134)/(B133+0.5*C134)))</f>
        <v/>
      </c>
      <c r="E134" s="30" t="n"/>
      <c r="F134" s="54">
        <f>IF(OR(E134="",E133=""),"",E134/E133-1)</f>
        <v/>
      </c>
      <c r="G134" s="55">
        <f>IF(A134="","",Settings!$B$8/12)</f>
        <v/>
      </c>
      <c r="H134" s="54">
        <f>IF(D134="","",D134-G134)</f>
        <v/>
      </c>
      <c r="I134" s="54">
        <f>IF(F134="","",F134-G134)</f>
        <v/>
      </c>
      <c r="J134" s="54">
        <f>IF(OR(D134="",F134=""),"",D134-F134)</f>
        <v/>
      </c>
      <c r="K134" s="56">
        <f>IF(OR(A134="",B134=""),"",IF(D134="",K133,K133*(1+D134)))</f>
        <v/>
      </c>
      <c r="L134" s="56">
        <f>IF(E134="","",IF(F134="",L133,L133*(1+F134)))</f>
        <v/>
      </c>
      <c r="M134" s="33">
        <f>IF(K134="","",K134/MAX(K$6:K134)-1)</f>
        <v/>
      </c>
      <c r="N134" s="33">
        <f>IF(L134="","",L134/MAX(L$6:L134)-1)</f>
        <v/>
      </c>
      <c r="O134" s="57">
        <f>IF(H134="","",MIN(H134,0)^2)</f>
        <v/>
      </c>
      <c r="P134" s="58">
        <f>IF(A134="","",YEAR(A134))</f>
        <v/>
      </c>
      <c r="Q134" s="59">
        <f>IF(D134="","",LN(1+D134))</f>
        <v/>
      </c>
      <c r="R134" s="27" t="n"/>
    </row>
    <row r="135">
      <c r="A135" s="43" t="n"/>
      <c r="B135" s="53" t="n"/>
      <c r="C135" s="32">
        <f>IF(A135="","",SUMIFS(Transactions!$J$6:$J$505,Transactions!$B$6:$B$505,"Deposit",Transactions!$A$6:$A$505,"&gt;"&amp;A134,Transactions!$A$6:$A$505,"&lt;="&amp;A135)-SUMIFS(Transactions!$J$6:$J$505,Transactions!$B$6:$B$505,"Withdrawal",Transactions!$A$6:$A$505,"&gt;"&amp;A134,Transactions!$A$6:$A$505,"&lt;="&amp;A135))</f>
        <v/>
      </c>
      <c r="D135" s="54">
        <f>IF(OR(A135="",B135=""),"",IF(B134="","",(B135-B134-C135)/(B134+0.5*C135)))</f>
        <v/>
      </c>
      <c r="E135" s="30" t="n"/>
      <c r="F135" s="54">
        <f>IF(OR(E135="",E134=""),"",E135/E134-1)</f>
        <v/>
      </c>
      <c r="G135" s="55">
        <f>IF(A135="","",Settings!$B$8/12)</f>
        <v/>
      </c>
      <c r="H135" s="54">
        <f>IF(D135="","",D135-G135)</f>
        <v/>
      </c>
      <c r="I135" s="54">
        <f>IF(F135="","",F135-G135)</f>
        <v/>
      </c>
      <c r="J135" s="54">
        <f>IF(OR(D135="",F135=""),"",D135-F135)</f>
        <v/>
      </c>
      <c r="K135" s="56">
        <f>IF(OR(A135="",B135=""),"",IF(D135="",K134,K134*(1+D135)))</f>
        <v/>
      </c>
      <c r="L135" s="56">
        <f>IF(E135="","",IF(F135="",L134,L134*(1+F135)))</f>
        <v/>
      </c>
      <c r="M135" s="33">
        <f>IF(K135="","",K135/MAX(K$6:K135)-1)</f>
        <v/>
      </c>
      <c r="N135" s="33">
        <f>IF(L135="","",L135/MAX(L$6:L135)-1)</f>
        <v/>
      </c>
      <c r="O135" s="57">
        <f>IF(H135="","",MIN(H135,0)^2)</f>
        <v/>
      </c>
      <c r="P135" s="58">
        <f>IF(A135="","",YEAR(A135))</f>
        <v/>
      </c>
      <c r="Q135" s="59">
        <f>IF(D135="","",LN(1+D135))</f>
        <v/>
      </c>
      <c r="R135" s="27" t="n"/>
    </row>
    <row r="136">
      <c r="A136" s="43" t="n"/>
      <c r="B136" s="53" t="n"/>
      <c r="C136" s="32">
        <f>IF(A136="","",SUMIFS(Transactions!$J$6:$J$505,Transactions!$B$6:$B$505,"Deposit",Transactions!$A$6:$A$505,"&gt;"&amp;A135,Transactions!$A$6:$A$505,"&lt;="&amp;A136)-SUMIFS(Transactions!$J$6:$J$505,Transactions!$B$6:$B$505,"Withdrawal",Transactions!$A$6:$A$505,"&gt;"&amp;A135,Transactions!$A$6:$A$505,"&lt;="&amp;A136))</f>
        <v/>
      </c>
      <c r="D136" s="54">
        <f>IF(OR(A136="",B136=""),"",IF(B135="","",(B136-B135-C136)/(B135+0.5*C136)))</f>
        <v/>
      </c>
      <c r="E136" s="30" t="n"/>
      <c r="F136" s="54">
        <f>IF(OR(E136="",E135=""),"",E136/E135-1)</f>
        <v/>
      </c>
      <c r="G136" s="55">
        <f>IF(A136="","",Settings!$B$8/12)</f>
        <v/>
      </c>
      <c r="H136" s="54">
        <f>IF(D136="","",D136-G136)</f>
        <v/>
      </c>
      <c r="I136" s="54">
        <f>IF(F136="","",F136-G136)</f>
        <v/>
      </c>
      <c r="J136" s="54">
        <f>IF(OR(D136="",F136=""),"",D136-F136)</f>
        <v/>
      </c>
      <c r="K136" s="56">
        <f>IF(OR(A136="",B136=""),"",IF(D136="",K135,K135*(1+D136)))</f>
        <v/>
      </c>
      <c r="L136" s="56">
        <f>IF(E136="","",IF(F136="",L135,L135*(1+F136)))</f>
        <v/>
      </c>
      <c r="M136" s="33">
        <f>IF(K136="","",K136/MAX(K$6:K136)-1)</f>
        <v/>
      </c>
      <c r="N136" s="33">
        <f>IF(L136="","",L136/MAX(L$6:L136)-1)</f>
        <v/>
      </c>
      <c r="O136" s="57">
        <f>IF(H136="","",MIN(H136,0)^2)</f>
        <v/>
      </c>
      <c r="P136" s="58">
        <f>IF(A136="","",YEAR(A136))</f>
        <v/>
      </c>
      <c r="Q136" s="59">
        <f>IF(D136="","",LN(1+D136))</f>
        <v/>
      </c>
      <c r="R136" s="27" t="n"/>
    </row>
    <row r="137">
      <c r="A137" s="43" t="n"/>
      <c r="B137" s="53" t="n"/>
      <c r="C137" s="32">
        <f>IF(A137="","",SUMIFS(Transactions!$J$6:$J$505,Transactions!$B$6:$B$505,"Deposit",Transactions!$A$6:$A$505,"&gt;"&amp;A136,Transactions!$A$6:$A$505,"&lt;="&amp;A137)-SUMIFS(Transactions!$J$6:$J$505,Transactions!$B$6:$B$505,"Withdrawal",Transactions!$A$6:$A$505,"&gt;"&amp;A136,Transactions!$A$6:$A$505,"&lt;="&amp;A137))</f>
        <v/>
      </c>
      <c r="D137" s="54">
        <f>IF(OR(A137="",B137=""),"",IF(B136="","",(B137-B136-C137)/(B136+0.5*C137)))</f>
        <v/>
      </c>
      <c r="E137" s="30" t="n"/>
      <c r="F137" s="54">
        <f>IF(OR(E137="",E136=""),"",E137/E136-1)</f>
        <v/>
      </c>
      <c r="G137" s="55">
        <f>IF(A137="","",Settings!$B$8/12)</f>
        <v/>
      </c>
      <c r="H137" s="54">
        <f>IF(D137="","",D137-G137)</f>
        <v/>
      </c>
      <c r="I137" s="54">
        <f>IF(F137="","",F137-G137)</f>
        <v/>
      </c>
      <c r="J137" s="54">
        <f>IF(OR(D137="",F137=""),"",D137-F137)</f>
        <v/>
      </c>
      <c r="K137" s="56">
        <f>IF(OR(A137="",B137=""),"",IF(D137="",K136,K136*(1+D137)))</f>
        <v/>
      </c>
      <c r="L137" s="56">
        <f>IF(E137="","",IF(F137="",L136,L136*(1+F137)))</f>
        <v/>
      </c>
      <c r="M137" s="33">
        <f>IF(K137="","",K137/MAX(K$6:K137)-1)</f>
        <v/>
      </c>
      <c r="N137" s="33">
        <f>IF(L137="","",L137/MAX(L$6:L137)-1)</f>
        <v/>
      </c>
      <c r="O137" s="57">
        <f>IF(H137="","",MIN(H137,0)^2)</f>
        <v/>
      </c>
      <c r="P137" s="58">
        <f>IF(A137="","",YEAR(A137))</f>
        <v/>
      </c>
      <c r="Q137" s="59">
        <f>IF(D137="","",LN(1+D137))</f>
        <v/>
      </c>
      <c r="R137" s="27" t="n"/>
    </row>
    <row r="138">
      <c r="A138" s="43" t="n"/>
      <c r="B138" s="53" t="n"/>
      <c r="C138" s="32">
        <f>IF(A138="","",SUMIFS(Transactions!$J$6:$J$505,Transactions!$B$6:$B$505,"Deposit",Transactions!$A$6:$A$505,"&gt;"&amp;A137,Transactions!$A$6:$A$505,"&lt;="&amp;A138)-SUMIFS(Transactions!$J$6:$J$505,Transactions!$B$6:$B$505,"Withdrawal",Transactions!$A$6:$A$505,"&gt;"&amp;A137,Transactions!$A$6:$A$505,"&lt;="&amp;A138))</f>
        <v/>
      </c>
      <c r="D138" s="54">
        <f>IF(OR(A138="",B138=""),"",IF(B137="","",(B138-B137-C138)/(B137+0.5*C138)))</f>
        <v/>
      </c>
      <c r="E138" s="30" t="n"/>
      <c r="F138" s="54">
        <f>IF(OR(E138="",E137=""),"",E138/E137-1)</f>
        <v/>
      </c>
      <c r="G138" s="55">
        <f>IF(A138="","",Settings!$B$8/12)</f>
        <v/>
      </c>
      <c r="H138" s="54">
        <f>IF(D138="","",D138-G138)</f>
        <v/>
      </c>
      <c r="I138" s="54">
        <f>IF(F138="","",F138-G138)</f>
        <v/>
      </c>
      <c r="J138" s="54">
        <f>IF(OR(D138="",F138=""),"",D138-F138)</f>
        <v/>
      </c>
      <c r="K138" s="56">
        <f>IF(OR(A138="",B138=""),"",IF(D138="",K137,K137*(1+D138)))</f>
        <v/>
      </c>
      <c r="L138" s="56">
        <f>IF(E138="","",IF(F138="",L137,L137*(1+F138)))</f>
        <v/>
      </c>
      <c r="M138" s="33">
        <f>IF(K138="","",K138/MAX(K$6:K138)-1)</f>
        <v/>
      </c>
      <c r="N138" s="33">
        <f>IF(L138="","",L138/MAX(L$6:L138)-1)</f>
        <v/>
      </c>
      <c r="O138" s="57">
        <f>IF(H138="","",MIN(H138,0)^2)</f>
        <v/>
      </c>
      <c r="P138" s="58">
        <f>IF(A138="","",YEAR(A138))</f>
        <v/>
      </c>
      <c r="Q138" s="59">
        <f>IF(D138="","",LN(1+D138))</f>
        <v/>
      </c>
      <c r="R138" s="27" t="n"/>
    </row>
    <row r="139">
      <c r="A139" s="43" t="n"/>
      <c r="B139" s="53" t="n"/>
      <c r="C139" s="32">
        <f>IF(A139="","",SUMIFS(Transactions!$J$6:$J$505,Transactions!$B$6:$B$505,"Deposit",Transactions!$A$6:$A$505,"&gt;"&amp;A138,Transactions!$A$6:$A$505,"&lt;="&amp;A139)-SUMIFS(Transactions!$J$6:$J$505,Transactions!$B$6:$B$505,"Withdrawal",Transactions!$A$6:$A$505,"&gt;"&amp;A138,Transactions!$A$6:$A$505,"&lt;="&amp;A139))</f>
        <v/>
      </c>
      <c r="D139" s="54">
        <f>IF(OR(A139="",B139=""),"",IF(B138="","",(B139-B138-C139)/(B138+0.5*C139)))</f>
        <v/>
      </c>
      <c r="E139" s="30" t="n"/>
      <c r="F139" s="54">
        <f>IF(OR(E139="",E138=""),"",E139/E138-1)</f>
        <v/>
      </c>
      <c r="G139" s="55">
        <f>IF(A139="","",Settings!$B$8/12)</f>
        <v/>
      </c>
      <c r="H139" s="54">
        <f>IF(D139="","",D139-G139)</f>
        <v/>
      </c>
      <c r="I139" s="54">
        <f>IF(F139="","",F139-G139)</f>
        <v/>
      </c>
      <c r="J139" s="54">
        <f>IF(OR(D139="",F139=""),"",D139-F139)</f>
        <v/>
      </c>
      <c r="K139" s="56">
        <f>IF(OR(A139="",B139=""),"",IF(D139="",K138,K138*(1+D139)))</f>
        <v/>
      </c>
      <c r="L139" s="56">
        <f>IF(E139="","",IF(F139="",L138,L138*(1+F139)))</f>
        <v/>
      </c>
      <c r="M139" s="33">
        <f>IF(K139="","",K139/MAX(K$6:K139)-1)</f>
        <v/>
      </c>
      <c r="N139" s="33">
        <f>IF(L139="","",L139/MAX(L$6:L139)-1)</f>
        <v/>
      </c>
      <c r="O139" s="57">
        <f>IF(H139="","",MIN(H139,0)^2)</f>
        <v/>
      </c>
      <c r="P139" s="58">
        <f>IF(A139="","",YEAR(A139))</f>
        <v/>
      </c>
      <c r="Q139" s="59">
        <f>IF(D139="","",LN(1+D139))</f>
        <v/>
      </c>
      <c r="R139" s="27" t="n"/>
    </row>
    <row r="140">
      <c r="A140" s="43" t="n"/>
      <c r="B140" s="53" t="n"/>
      <c r="C140" s="32">
        <f>IF(A140="","",SUMIFS(Transactions!$J$6:$J$505,Transactions!$B$6:$B$505,"Deposit",Transactions!$A$6:$A$505,"&gt;"&amp;A139,Transactions!$A$6:$A$505,"&lt;="&amp;A140)-SUMIFS(Transactions!$J$6:$J$505,Transactions!$B$6:$B$505,"Withdrawal",Transactions!$A$6:$A$505,"&gt;"&amp;A139,Transactions!$A$6:$A$505,"&lt;="&amp;A140))</f>
        <v/>
      </c>
      <c r="D140" s="54">
        <f>IF(OR(A140="",B140=""),"",IF(B139="","",(B140-B139-C140)/(B139+0.5*C140)))</f>
        <v/>
      </c>
      <c r="E140" s="30" t="n"/>
      <c r="F140" s="54">
        <f>IF(OR(E140="",E139=""),"",E140/E139-1)</f>
        <v/>
      </c>
      <c r="G140" s="55">
        <f>IF(A140="","",Settings!$B$8/12)</f>
        <v/>
      </c>
      <c r="H140" s="54">
        <f>IF(D140="","",D140-G140)</f>
        <v/>
      </c>
      <c r="I140" s="54">
        <f>IF(F140="","",F140-G140)</f>
        <v/>
      </c>
      <c r="J140" s="54">
        <f>IF(OR(D140="",F140=""),"",D140-F140)</f>
        <v/>
      </c>
      <c r="K140" s="56">
        <f>IF(OR(A140="",B140=""),"",IF(D140="",K139,K139*(1+D140)))</f>
        <v/>
      </c>
      <c r="L140" s="56">
        <f>IF(E140="","",IF(F140="",L139,L139*(1+F140)))</f>
        <v/>
      </c>
      <c r="M140" s="33">
        <f>IF(K140="","",K140/MAX(K$6:K140)-1)</f>
        <v/>
      </c>
      <c r="N140" s="33">
        <f>IF(L140="","",L140/MAX(L$6:L140)-1)</f>
        <v/>
      </c>
      <c r="O140" s="57">
        <f>IF(H140="","",MIN(H140,0)^2)</f>
        <v/>
      </c>
      <c r="P140" s="58">
        <f>IF(A140="","",YEAR(A140))</f>
        <v/>
      </c>
      <c r="Q140" s="59">
        <f>IF(D140="","",LN(1+D140))</f>
        <v/>
      </c>
      <c r="R140" s="27" t="n"/>
    </row>
    <row r="141">
      <c r="A141" s="43" t="n"/>
      <c r="B141" s="53" t="n"/>
      <c r="C141" s="32">
        <f>IF(A141="","",SUMIFS(Transactions!$J$6:$J$505,Transactions!$B$6:$B$505,"Deposit",Transactions!$A$6:$A$505,"&gt;"&amp;A140,Transactions!$A$6:$A$505,"&lt;="&amp;A141)-SUMIFS(Transactions!$J$6:$J$505,Transactions!$B$6:$B$505,"Withdrawal",Transactions!$A$6:$A$505,"&gt;"&amp;A140,Transactions!$A$6:$A$505,"&lt;="&amp;A141))</f>
        <v/>
      </c>
      <c r="D141" s="54">
        <f>IF(OR(A141="",B141=""),"",IF(B140="","",(B141-B140-C141)/(B140+0.5*C141)))</f>
        <v/>
      </c>
      <c r="E141" s="30" t="n"/>
      <c r="F141" s="54">
        <f>IF(OR(E141="",E140=""),"",E141/E140-1)</f>
        <v/>
      </c>
      <c r="G141" s="55">
        <f>IF(A141="","",Settings!$B$8/12)</f>
        <v/>
      </c>
      <c r="H141" s="54">
        <f>IF(D141="","",D141-G141)</f>
        <v/>
      </c>
      <c r="I141" s="54">
        <f>IF(F141="","",F141-G141)</f>
        <v/>
      </c>
      <c r="J141" s="54">
        <f>IF(OR(D141="",F141=""),"",D141-F141)</f>
        <v/>
      </c>
      <c r="K141" s="56">
        <f>IF(OR(A141="",B141=""),"",IF(D141="",K140,K140*(1+D141)))</f>
        <v/>
      </c>
      <c r="L141" s="56">
        <f>IF(E141="","",IF(F141="",L140,L140*(1+F141)))</f>
        <v/>
      </c>
      <c r="M141" s="33">
        <f>IF(K141="","",K141/MAX(K$6:K141)-1)</f>
        <v/>
      </c>
      <c r="N141" s="33">
        <f>IF(L141="","",L141/MAX(L$6:L141)-1)</f>
        <v/>
      </c>
      <c r="O141" s="57">
        <f>IF(H141="","",MIN(H141,0)^2)</f>
        <v/>
      </c>
      <c r="P141" s="58">
        <f>IF(A141="","",YEAR(A141))</f>
        <v/>
      </c>
      <c r="Q141" s="59">
        <f>IF(D141="","",LN(1+D141))</f>
        <v/>
      </c>
      <c r="R141" s="27" t="n"/>
    </row>
    <row r="142">
      <c r="A142" s="43" t="n"/>
      <c r="B142" s="53" t="n"/>
      <c r="C142" s="32">
        <f>IF(A142="","",SUMIFS(Transactions!$J$6:$J$505,Transactions!$B$6:$B$505,"Deposit",Transactions!$A$6:$A$505,"&gt;"&amp;A141,Transactions!$A$6:$A$505,"&lt;="&amp;A142)-SUMIFS(Transactions!$J$6:$J$505,Transactions!$B$6:$B$505,"Withdrawal",Transactions!$A$6:$A$505,"&gt;"&amp;A141,Transactions!$A$6:$A$505,"&lt;="&amp;A142))</f>
        <v/>
      </c>
      <c r="D142" s="54">
        <f>IF(OR(A142="",B142=""),"",IF(B141="","",(B142-B141-C142)/(B141+0.5*C142)))</f>
        <v/>
      </c>
      <c r="E142" s="30" t="n"/>
      <c r="F142" s="54">
        <f>IF(OR(E142="",E141=""),"",E142/E141-1)</f>
        <v/>
      </c>
      <c r="G142" s="55">
        <f>IF(A142="","",Settings!$B$8/12)</f>
        <v/>
      </c>
      <c r="H142" s="54">
        <f>IF(D142="","",D142-G142)</f>
        <v/>
      </c>
      <c r="I142" s="54">
        <f>IF(F142="","",F142-G142)</f>
        <v/>
      </c>
      <c r="J142" s="54">
        <f>IF(OR(D142="",F142=""),"",D142-F142)</f>
        <v/>
      </c>
      <c r="K142" s="56">
        <f>IF(OR(A142="",B142=""),"",IF(D142="",K141,K141*(1+D142)))</f>
        <v/>
      </c>
      <c r="L142" s="56">
        <f>IF(E142="","",IF(F142="",L141,L141*(1+F142)))</f>
        <v/>
      </c>
      <c r="M142" s="33">
        <f>IF(K142="","",K142/MAX(K$6:K142)-1)</f>
        <v/>
      </c>
      <c r="N142" s="33">
        <f>IF(L142="","",L142/MAX(L$6:L142)-1)</f>
        <v/>
      </c>
      <c r="O142" s="57">
        <f>IF(H142="","",MIN(H142,0)^2)</f>
        <v/>
      </c>
      <c r="P142" s="58">
        <f>IF(A142="","",YEAR(A142))</f>
        <v/>
      </c>
      <c r="Q142" s="59">
        <f>IF(D142="","",LN(1+D142))</f>
        <v/>
      </c>
      <c r="R142" s="27" t="n"/>
    </row>
    <row r="143">
      <c r="A143" s="43" t="n"/>
      <c r="B143" s="53" t="n"/>
      <c r="C143" s="32">
        <f>IF(A143="","",SUMIFS(Transactions!$J$6:$J$505,Transactions!$B$6:$B$505,"Deposit",Transactions!$A$6:$A$505,"&gt;"&amp;A142,Transactions!$A$6:$A$505,"&lt;="&amp;A143)-SUMIFS(Transactions!$J$6:$J$505,Transactions!$B$6:$B$505,"Withdrawal",Transactions!$A$6:$A$505,"&gt;"&amp;A142,Transactions!$A$6:$A$505,"&lt;="&amp;A143))</f>
        <v/>
      </c>
      <c r="D143" s="54">
        <f>IF(OR(A143="",B143=""),"",IF(B142="","",(B143-B142-C143)/(B142+0.5*C143)))</f>
        <v/>
      </c>
      <c r="E143" s="30" t="n"/>
      <c r="F143" s="54">
        <f>IF(OR(E143="",E142=""),"",E143/E142-1)</f>
        <v/>
      </c>
      <c r="G143" s="55">
        <f>IF(A143="","",Settings!$B$8/12)</f>
        <v/>
      </c>
      <c r="H143" s="54">
        <f>IF(D143="","",D143-G143)</f>
        <v/>
      </c>
      <c r="I143" s="54">
        <f>IF(F143="","",F143-G143)</f>
        <v/>
      </c>
      <c r="J143" s="54">
        <f>IF(OR(D143="",F143=""),"",D143-F143)</f>
        <v/>
      </c>
      <c r="K143" s="56">
        <f>IF(OR(A143="",B143=""),"",IF(D143="",K142,K142*(1+D143)))</f>
        <v/>
      </c>
      <c r="L143" s="56">
        <f>IF(E143="","",IF(F143="",L142,L142*(1+F143)))</f>
        <v/>
      </c>
      <c r="M143" s="33">
        <f>IF(K143="","",K143/MAX(K$6:K143)-1)</f>
        <v/>
      </c>
      <c r="N143" s="33">
        <f>IF(L143="","",L143/MAX(L$6:L143)-1)</f>
        <v/>
      </c>
      <c r="O143" s="57">
        <f>IF(H143="","",MIN(H143,0)^2)</f>
        <v/>
      </c>
      <c r="P143" s="58">
        <f>IF(A143="","",YEAR(A143))</f>
        <v/>
      </c>
      <c r="Q143" s="59">
        <f>IF(D143="","",LN(1+D143))</f>
        <v/>
      </c>
      <c r="R143" s="27" t="n"/>
    </row>
    <row r="144">
      <c r="A144" s="43" t="n"/>
      <c r="B144" s="53" t="n"/>
      <c r="C144" s="32">
        <f>IF(A144="","",SUMIFS(Transactions!$J$6:$J$505,Transactions!$B$6:$B$505,"Deposit",Transactions!$A$6:$A$505,"&gt;"&amp;A143,Transactions!$A$6:$A$505,"&lt;="&amp;A144)-SUMIFS(Transactions!$J$6:$J$505,Transactions!$B$6:$B$505,"Withdrawal",Transactions!$A$6:$A$505,"&gt;"&amp;A143,Transactions!$A$6:$A$505,"&lt;="&amp;A144))</f>
        <v/>
      </c>
      <c r="D144" s="54">
        <f>IF(OR(A144="",B144=""),"",IF(B143="","",(B144-B143-C144)/(B143+0.5*C144)))</f>
        <v/>
      </c>
      <c r="E144" s="30" t="n"/>
      <c r="F144" s="54">
        <f>IF(OR(E144="",E143=""),"",E144/E143-1)</f>
        <v/>
      </c>
      <c r="G144" s="55">
        <f>IF(A144="","",Settings!$B$8/12)</f>
        <v/>
      </c>
      <c r="H144" s="54">
        <f>IF(D144="","",D144-G144)</f>
        <v/>
      </c>
      <c r="I144" s="54">
        <f>IF(F144="","",F144-G144)</f>
        <v/>
      </c>
      <c r="J144" s="54">
        <f>IF(OR(D144="",F144=""),"",D144-F144)</f>
        <v/>
      </c>
      <c r="K144" s="56">
        <f>IF(OR(A144="",B144=""),"",IF(D144="",K143,K143*(1+D144)))</f>
        <v/>
      </c>
      <c r="L144" s="56">
        <f>IF(E144="","",IF(F144="",L143,L143*(1+F144)))</f>
        <v/>
      </c>
      <c r="M144" s="33">
        <f>IF(K144="","",K144/MAX(K$6:K144)-1)</f>
        <v/>
      </c>
      <c r="N144" s="33">
        <f>IF(L144="","",L144/MAX(L$6:L144)-1)</f>
        <v/>
      </c>
      <c r="O144" s="57">
        <f>IF(H144="","",MIN(H144,0)^2)</f>
        <v/>
      </c>
      <c r="P144" s="58">
        <f>IF(A144="","",YEAR(A144))</f>
        <v/>
      </c>
      <c r="Q144" s="59">
        <f>IF(D144="","",LN(1+D144))</f>
        <v/>
      </c>
      <c r="R144" s="27" t="n"/>
    </row>
    <row r="145">
      <c r="A145" s="43" t="n"/>
      <c r="B145" s="53" t="n"/>
      <c r="C145" s="32">
        <f>IF(A145="","",SUMIFS(Transactions!$J$6:$J$505,Transactions!$B$6:$B$505,"Deposit",Transactions!$A$6:$A$505,"&gt;"&amp;A144,Transactions!$A$6:$A$505,"&lt;="&amp;A145)-SUMIFS(Transactions!$J$6:$J$505,Transactions!$B$6:$B$505,"Withdrawal",Transactions!$A$6:$A$505,"&gt;"&amp;A144,Transactions!$A$6:$A$505,"&lt;="&amp;A145))</f>
        <v/>
      </c>
      <c r="D145" s="54">
        <f>IF(OR(A145="",B145=""),"",IF(B144="","",(B145-B144-C145)/(B144+0.5*C145)))</f>
        <v/>
      </c>
      <c r="E145" s="30" t="n"/>
      <c r="F145" s="54">
        <f>IF(OR(E145="",E144=""),"",E145/E144-1)</f>
        <v/>
      </c>
      <c r="G145" s="55">
        <f>IF(A145="","",Settings!$B$8/12)</f>
        <v/>
      </c>
      <c r="H145" s="54">
        <f>IF(D145="","",D145-G145)</f>
        <v/>
      </c>
      <c r="I145" s="54">
        <f>IF(F145="","",F145-G145)</f>
        <v/>
      </c>
      <c r="J145" s="54">
        <f>IF(OR(D145="",F145=""),"",D145-F145)</f>
        <v/>
      </c>
      <c r="K145" s="56">
        <f>IF(OR(A145="",B145=""),"",IF(D145="",K144,K144*(1+D145)))</f>
        <v/>
      </c>
      <c r="L145" s="56">
        <f>IF(E145="","",IF(F145="",L144,L144*(1+F145)))</f>
        <v/>
      </c>
      <c r="M145" s="33">
        <f>IF(K145="","",K145/MAX(K$6:K145)-1)</f>
        <v/>
      </c>
      <c r="N145" s="33">
        <f>IF(L145="","",L145/MAX(L$6:L145)-1)</f>
        <v/>
      </c>
      <c r="O145" s="57">
        <f>IF(H145="","",MIN(H145,0)^2)</f>
        <v/>
      </c>
      <c r="P145" s="58">
        <f>IF(A145="","",YEAR(A145))</f>
        <v/>
      </c>
      <c r="Q145" s="59">
        <f>IF(D145="","",LN(1+D145))</f>
        <v/>
      </c>
      <c r="R145" s="27" t="n"/>
    </row>
    <row r="146">
      <c r="A146" s="43" t="n"/>
      <c r="B146" s="53" t="n"/>
      <c r="C146" s="32">
        <f>IF(A146="","",SUMIFS(Transactions!$J$6:$J$505,Transactions!$B$6:$B$505,"Deposit",Transactions!$A$6:$A$505,"&gt;"&amp;A145,Transactions!$A$6:$A$505,"&lt;="&amp;A146)-SUMIFS(Transactions!$J$6:$J$505,Transactions!$B$6:$B$505,"Withdrawal",Transactions!$A$6:$A$505,"&gt;"&amp;A145,Transactions!$A$6:$A$505,"&lt;="&amp;A146))</f>
        <v/>
      </c>
      <c r="D146" s="54">
        <f>IF(OR(A146="",B146=""),"",IF(B145="","",(B146-B145-C146)/(B145+0.5*C146)))</f>
        <v/>
      </c>
      <c r="E146" s="30" t="n"/>
      <c r="F146" s="54">
        <f>IF(OR(E146="",E145=""),"",E146/E145-1)</f>
        <v/>
      </c>
      <c r="G146" s="55">
        <f>IF(A146="","",Settings!$B$8/12)</f>
        <v/>
      </c>
      <c r="H146" s="54">
        <f>IF(D146="","",D146-G146)</f>
        <v/>
      </c>
      <c r="I146" s="54">
        <f>IF(F146="","",F146-G146)</f>
        <v/>
      </c>
      <c r="J146" s="54">
        <f>IF(OR(D146="",F146=""),"",D146-F146)</f>
        <v/>
      </c>
      <c r="K146" s="56">
        <f>IF(OR(A146="",B146=""),"",IF(D146="",K145,K145*(1+D146)))</f>
        <v/>
      </c>
      <c r="L146" s="56">
        <f>IF(E146="","",IF(F146="",L145,L145*(1+F146)))</f>
        <v/>
      </c>
      <c r="M146" s="33">
        <f>IF(K146="","",K146/MAX(K$6:K146)-1)</f>
        <v/>
      </c>
      <c r="N146" s="33">
        <f>IF(L146="","",L146/MAX(L$6:L146)-1)</f>
        <v/>
      </c>
      <c r="O146" s="57">
        <f>IF(H146="","",MIN(H146,0)^2)</f>
        <v/>
      </c>
      <c r="P146" s="58">
        <f>IF(A146="","",YEAR(A146))</f>
        <v/>
      </c>
      <c r="Q146" s="59">
        <f>IF(D146="","",LN(1+D146))</f>
        <v/>
      </c>
      <c r="R146" s="27" t="n"/>
    </row>
    <row r="147">
      <c r="A147" s="43" t="n"/>
      <c r="B147" s="53" t="n"/>
      <c r="C147" s="32">
        <f>IF(A147="","",SUMIFS(Transactions!$J$6:$J$505,Transactions!$B$6:$B$505,"Deposit",Transactions!$A$6:$A$505,"&gt;"&amp;A146,Transactions!$A$6:$A$505,"&lt;="&amp;A147)-SUMIFS(Transactions!$J$6:$J$505,Transactions!$B$6:$B$505,"Withdrawal",Transactions!$A$6:$A$505,"&gt;"&amp;A146,Transactions!$A$6:$A$505,"&lt;="&amp;A147))</f>
        <v/>
      </c>
      <c r="D147" s="54">
        <f>IF(OR(A147="",B147=""),"",IF(B146="","",(B147-B146-C147)/(B146+0.5*C147)))</f>
        <v/>
      </c>
      <c r="E147" s="30" t="n"/>
      <c r="F147" s="54">
        <f>IF(OR(E147="",E146=""),"",E147/E146-1)</f>
        <v/>
      </c>
      <c r="G147" s="55">
        <f>IF(A147="","",Settings!$B$8/12)</f>
        <v/>
      </c>
      <c r="H147" s="54">
        <f>IF(D147="","",D147-G147)</f>
        <v/>
      </c>
      <c r="I147" s="54">
        <f>IF(F147="","",F147-G147)</f>
        <v/>
      </c>
      <c r="J147" s="54">
        <f>IF(OR(D147="",F147=""),"",D147-F147)</f>
        <v/>
      </c>
      <c r="K147" s="56">
        <f>IF(OR(A147="",B147=""),"",IF(D147="",K146,K146*(1+D147)))</f>
        <v/>
      </c>
      <c r="L147" s="56">
        <f>IF(E147="","",IF(F147="",L146,L146*(1+F147)))</f>
        <v/>
      </c>
      <c r="M147" s="33">
        <f>IF(K147="","",K147/MAX(K$6:K147)-1)</f>
        <v/>
      </c>
      <c r="N147" s="33">
        <f>IF(L147="","",L147/MAX(L$6:L147)-1)</f>
        <v/>
      </c>
      <c r="O147" s="57">
        <f>IF(H147="","",MIN(H147,0)^2)</f>
        <v/>
      </c>
      <c r="P147" s="58">
        <f>IF(A147="","",YEAR(A147))</f>
        <v/>
      </c>
      <c r="Q147" s="59">
        <f>IF(D147="","",LN(1+D147))</f>
        <v/>
      </c>
      <c r="R147" s="27" t="n"/>
    </row>
    <row r="148">
      <c r="A148" s="43" t="n"/>
      <c r="B148" s="53" t="n"/>
      <c r="C148" s="32">
        <f>IF(A148="","",SUMIFS(Transactions!$J$6:$J$505,Transactions!$B$6:$B$505,"Deposit",Transactions!$A$6:$A$505,"&gt;"&amp;A147,Transactions!$A$6:$A$505,"&lt;="&amp;A148)-SUMIFS(Transactions!$J$6:$J$505,Transactions!$B$6:$B$505,"Withdrawal",Transactions!$A$6:$A$505,"&gt;"&amp;A147,Transactions!$A$6:$A$505,"&lt;="&amp;A148))</f>
        <v/>
      </c>
      <c r="D148" s="54">
        <f>IF(OR(A148="",B148=""),"",IF(B147="","",(B148-B147-C148)/(B147+0.5*C148)))</f>
        <v/>
      </c>
      <c r="E148" s="30" t="n"/>
      <c r="F148" s="54">
        <f>IF(OR(E148="",E147=""),"",E148/E147-1)</f>
        <v/>
      </c>
      <c r="G148" s="55">
        <f>IF(A148="","",Settings!$B$8/12)</f>
        <v/>
      </c>
      <c r="H148" s="54">
        <f>IF(D148="","",D148-G148)</f>
        <v/>
      </c>
      <c r="I148" s="54">
        <f>IF(F148="","",F148-G148)</f>
        <v/>
      </c>
      <c r="J148" s="54">
        <f>IF(OR(D148="",F148=""),"",D148-F148)</f>
        <v/>
      </c>
      <c r="K148" s="56">
        <f>IF(OR(A148="",B148=""),"",IF(D148="",K147,K147*(1+D148)))</f>
        <v/>
      </c>
      <c r="L148" s="56">
        <f>IF(E148="","",IF(F148="",L147,L147*(1+F148)))</f>
        <v/>
      </c>
      <c r="M148" s="33">
        <f>IF(K148="","",K148/MAX(K$6:K148)-1)</f>
        <v/>
      </c>
      <c r="N148" s="33">
        <f>IF(L148="","",L148/MAX(L$6:L148)-1)</f>
        <v/>
      </c>
      <c r="O148" s="57">
        <f>IF(H148="","",MIN(H148,0)^2)</f>
        <v/>
      </c>
      <c r="P148" s="58">
        <f>IF(A148="","",YEAR(A148))</f>
        <v/>
      </c>
      <c r="Q148" s="59">
        <f>IF(D148="","",LN(1+D148))</f>
        <v/>
      </c>
      <c r="R148" s="27" t="n"/>
    </row>
    <row r="149">
      <c r="A149" s="43" t="n"/>
      <c r="B149" s="53" t="n"/>
      <c r="C149" s="32">
        <f>IF(A149="","",SUMIFS(Transactions!$J$6:$J$505,Transactions!$B$6:$B$505,"Deposit",Transactions!$A$6:$A$505,"&gt;"&amp;A148,Transactions!$A$6:$A$505,"&lt;="&amp;A149)-SUMIFS(Transactions!$J$6:$J$505,Transactions!$B$6:$B$505,"Withdrawal",Transactions!$A$6:$A$505,"&gt;"&amp;A148,Transactions!$A$6:$A$505,"&lt;="&amp;A149))</f>
        <v/>
      </c>
      <c r="D149" s="54">
        <f>IF(OR(A149="",B149=""),"",IF(B148="","",(B149-B148-C149)/(B148+0.5*C149)))</f>
        <v/>
      </c>
      <c r="E149" s="30" t="n"/>
      <c r="F149" s="54">
        <f>IF(OR(E149="",E148=""),"",E149/E148-1)</f>
        <v/>
      </c>
      <c r="G149" s="55">
        <f>IF(A149="","",Settings!$B$8/12)</f>
        <v/>
      </c>
      <c r="H149" s="54">
        <f>IF(D149="","",D149-G149)</f>
        <v/>
      </c>
      <c r="I149" s="54">
        <f>IF(F149="","",F149-G149)</f>
        <v/>
      </c>
      <c r="J149" s="54">
        <f>IF(OR(D149="",F149=""),"",D149-F149)</f>
        <v/>
      </c>
      <c r="K149" s="56">
        <f>IF(OR(A149="",B149=""),"",IF(D149="",K148,K148*(1+D149)))</f>
        <v/>
      </c>
      <c r="L149" s="56">
        <f>IF(E149="","",IF(F149="",L148,L148*(1+F149)))</f>
        <v/>
      </c>
      <c r="M149" s="33">
        <f>IF(K149="","",K149/MAX(K$6:K149)-1)</f>
        <v/>
      </c>
      <c r="N149" s="33">
        <f>IF(L149="","",L149/MAX(L$6:L149)-1)</f>
        <v/>
      </c>
      <c r="O149" s="57">
        <f>IF(H149="","",MIN(H149,0)^2)</f>
        <v/>
      </c>
      <c r="P149" s="58">
        <f>IF(A149="","",YEAR(A149))</f>
        <v/>
      </c>
      <c r="Q149" s="59">
        <f>IF(D149="","",LN(1+D149))</f>
        <v/>
      </c>
      <c r="R149" s="27" t="n"/>
    </row>
    <row r="150">
      <c r="A150" s="43" t="n"/>
      <c r="B150" s="53" t="n"/>
      <c r="C150" s="32">
        <f>IF(A150="","",SUMIFS(Transactions!$J$6:$J$505,Transactions!$B$6:$B$505,"Deposit",Transactions!$A$6:$A$505,"&gt;"&amp;A149,Transactions!$A$6:$A$505,"&lt;="&amp;A150)-SUMIFS(Transactions!$J$6:$J$505,Transactions!$B$6:$B$505,"Withdrawal",Transactions!$A$6:$A$505,"&gt;"&amp;A149,Transactions!$A$6:$A$505,"&lt;="&amp;A150))</f>
        <v/>
      </c>
      <c r="D150" s="54">
        <f>IF(OR(A150="",B150=""),"",IF(B149="","",(B150-B149-C150)/(B149+0.5*C150)))</f>
        <v/>
      </c>
      <c r="E150" s="30" t="n"/>
      <c r="F150" s="54">
        <f>IF(OR(E150="",E149=""),"",E150/E149-1)</f>
        <v/>
      </c>
      <c r="G150" s="55">
        <f>IF(A150="","",Settings!$B$8/12)</f>
        <v/>
      </c>
      <c r="H150" s="54">
        <f>IF(D150="","",D150-G150)</f>
        <v/>
      </c>
      <c r="I150" s="54">
        <f>IF(F150="","",F150-G150)</f>
        <v/>
      </c>
      <c r="J150" s="54">
        <f>IF(OR(D150="",F150=""),"",D150-F150)</f>
        <v/>
      </c>
      <c r="K150" s="56">
        <f>IF(OR(A150="",B150=""),"",IF(D150="",K149,K149*(1+D150)))</f>
        <v/>
      </c>
      <c r="L150" s="56">
        <f>IF(E150="","",IF(F150="",L149,L149*(1+F150)))</f>
        <v/>
      </c>
      <c r="M150" s="33">
        <f>IF(K150="","",K150/MAX(K$6:K150)-1)</f>
        <v/>
      </c>
      <c r="N150" s="33">
        <f>IF(L150="","",L150/MAX(L$6:L150)-1)</f>
        <v/>
      </c>
      <c r="O150" s="57">
        <f>IF(H150="","",MIN(H150,0)^2)</f>
        <v/>
      </c>
      <c r="P150" s="58">
        <f>IF(A150="","",YEAR(A150))</f>
        <v/>
      </c>
      <c r="Q150" s="59">
        <f>IF(D150="","",LN(1+D150))</f>
        <v/>
      </c>
      <c r="R150" s="27" t="n"/>
    </row>
    <row r="151">
      <c r="A151" s="43" t="n"/>
      <c r="B151" s="53" t="n"/>
      <c r="C151" s="32">
        <f>IF(A151="","",SUMIFS(Transactions!$J$6:$J$505,Transactions!$B$6:$B$505,"Deposit",Transactions!$A$6:$A$505,"&gt;"&amp;A150,Transactions!$A$6:$A$505,"&lt;="&amp;A151)-SUMIFS(Transactions!$J$6:$J$505,Transactions!$B$6:$B$505,"Withdrawal",Transactions!$A$6:$A$505,"&gt;"&amp;A150,Transactions!$A$6:$A$505,"&lt;="&amp;A151))</f>
        <v/>
      </c>
      <c r="D151" s="54">
        <f>IF(OR(A151="",B151=""),"",IF(B150="","",(B151-B150-C151)/(B150+0.5*C151)))</f>
        <v/>
      </c>
      <c r="E151" s="30" t="n"/>
      <c r="F151" s="54">
        <f>IF(OR(E151="",E150=""),"",E151/E150-1)</f>
        <v/>
      </c>
      <c r="G151" s="55">
        <f>IF(A151="","",Settings!$B$8/12)</f>
        <v/>
      </c>
      <c r="H151" s="54">
        <f>IF(D151="","",D151-G151)</f>
        <v/>
      </c>
      <c r="I151" s="54">
        <f>IF(F151="","",F151-G151)</f>
        <v/>
      </c>
      <c r="J151" s="54">
        <f>IF(OR(D151="",F151=""),"",D151-F151)</f>
        <v/>
      </c>
      <c r="K151" s="56">
        <f>IF(OR(A151="",B151=""),"",IF(D151="",K150,K150*(1+D151)))</f>
        <v/>
      </c>
      <c r="L151" s="56">
        <f>IF(E151="","",IF(F151="",L150,L150*(1+F151)))</f>
        <v/>
      </c>
      <c r="M151" s="33">
        <f>IF(K151="","",K151/MAX(K$6:K151)-1)</f>
        <v/>
      </c>
      <c r="N151" s="33">
        <f>IF(L151="","",L151/MAX(L$6:L151)-1)</f>
        <v/>
      </c>
      <c r="O151" s="57">
        <f>IF(H151="","",MIN(H151,0)^2)</f>
        <v/>
      </c>
      <c r="P151" s="58">
        <f>IF(A151="","",YEAR(A151))</f>
        <v/>
      </c>
      <c r="Q151" s="59">
        <f>IF(D151="","",LN(1+D151))</f>
        <v/>
      </c>
      <c r="R151" s="27" t="n"/>
    </row>
    <row r="152">
      <c r="A152" s="43" t="n"/>
      <c r="B152" s="53" t="n"/>
      <c r="C152" s="32">
        <f>IF(A152="","",SUMIFS(Transactions!$J$6:$J$505,Transactions!$B$6:$B$505,"Deposit",Transactions!$A$6:$A$505,"&gt;"&amp;A151,Transactions!$A$6:$A$505,"&lt;="&amp;A152)-SUMIFS(Transactions!$J$6:$J$505,Transactions!$B$6:$B$505,"Withdrawal",Transactions!$A$6:$A$505,"&gt;"&amp;A151,Transactions!$A$6:$A$505,"&lt;="&amp;A152))</f>
        <v/>
      </c>
      <c r="D152" s="54">
        <f>IF(OR(A152="",B152=""),"",IF(B151="","",(B152-B151-C152)/(B151+0.5*C152)))</f>
        <v/>
      </c>
      <c r="E152" s="30" t="n"/>
      <c r="F152" s="54">
        <f>IF(OR(E152="",E151=""),"",E152/E151-1)</f>
        <v/>
      </c>
      <c r="G152" s="55">
        <f>IF(A152="","",Settings!$B$8/12)</f>
        <v/>
      </c>
      <c r="H152" s="54">
        <f>IF(D152="","",D152-G152)</f>
        <v/>
      </c>
      <c r="I152" s="54">
        <f>IF(F152="","",F152-G152)</f>
        <v/>
      </c>
      <c r="J152" s="54">
        <f>IF(OR(D152="",F152=""),"",D152-F152)</f>
        <v/>
      </c>
      <c r="K152" s="56">
        <f>IF(OR(A152="",B152=""),"",IF(D152="",K151,K151*(1+D152)))</f>
        <v/>
      </c>
      <c r="L152" s="56">
        <f>IF(E152="","",IF(F152="",L151,L151*(1+F152)))</f>
        <v/>
      </c>
      <c r="M152" s="33">
        <f>IF(K152="","",K152/MAX(K$6:K152)-1)</f>
        <v/>
      </c>
      <c r="N152" s="33">
        <f>IF(L152="","",L152/MAX(L$6:L152)-1)</f>
        <v/>
      </c>
      <c r="O152" s="57">
        <f>IF(H152="","",MIN(H152,0)^2)</f>
        <v/>
      </c>
      <c r="P152" s="58">
        <f>IF(A152="","",YEAR(A152))</f>
        <v/>
      </c>
      <c r="Q152" s="59">
        <f>IF(D152="","",LN(1+D152))</f>
        <v/>
      </c>
      <c r="R152" s="27" t="n"/>
    </row>
    <row r="153">
      <c r="A153" s="43" t="n"/>
      <c r="B153" s="53" t="n"/>
      <c r="C153" s="32">
        <f>IF(A153="","",SUMIFS(Transactions!$J$6:$J$505,Transactions!$B$6:$B$505,"Deposit",Transactions!$A$6:$A$505,"&gt;"&amp;A152,Transactions!$A$6:$A$505,"&lt;="&amp;A153)-SUMIFS(Transactions!$J$6:$J$505,Transactions!$B$6:$B$505,"Withdrawal",Transactions!$A$6:$A$505,"&gt;"&amp;A152,Transactions!$A$6:$A$505,"&lt;="&amp;A153))</f>
        <v/>
      </c>
      <c r="D153" s="54">
        <f>IF(OR(A153="",B153=""),"",IF(B152="","",(B153-B152-C153)/(B152+0.5*C153)))</f>
        <v/>
      </c>
      <c r="E153" s="30" t="n"/>
      <c r="F153" s="54">
        <f>IF(OR(E153="",E152=""),"",E153/E152-1)</f>
        <v/>
      </c>
      <c r="G153" s="55">
        <f>IF(A153="","",Settings!$B$8/12)</f>
        <v/>
      </c>
      <c r="H153" s="54">
        <f>IF(D153="","",D153-G153)</f>
        <v/>
      </c>
      <c r="I153" s="54">
        <f>IF(F153="","",F153-G153)</f>
        <v/>
      </c>
      <c r="J153" s="54">
        <f>IF(OR(D153="",F153=""),"",D153-F153)</f>
        <v/>
      </c>
      <c r="K153" s="56">
        <f>IF(OR(A153="",B153=""),"",IF(D153="",K152,K152*(1+D153)))</f>
        <v/>
      </c>
      <c r="L153" s="56">
        <f>IF(E153="","",IF(F153="",L152,L152*(1+F153)))</f>
        <v/>
      </c>
      <c r="M153" s="33">
        <f>IF(K153="","",K153/MAX(K$6:K153)-1)</f>
        <v/>
      </c>
      <c r="N153" s="33">
        <f>IF(L153="","",L153/MAX(L$6:L153)-1)</f>
        <v/>
      </c>
      <c r="O153" s="57">
        <f>IF(H153="","",MIN(H153,0)^2)</f>
        <v/>
      </c>
      <c r="P153" s="58">
        <f>IF(A153="","",YEAR(A153))</f>
        <v/>
      </c>
      <c r="Q153" s="59">
        <f>IF(D153="","",LN(1+D153))</f>
        <v/>
      </c>
      <c r="R153" s="27" t="n"/>
    </row>
    <row r="154">
      <c r="A154" s="43" t="n"/>
      <c r="B154" s="53" t="n"/>
      <c r="C154" s="32">
        <f>IF(A154="","",SUMIFS(Transactions!$J$6:$J$505,Transactions!$B$6:$B$505,"Deposit",Transactions!$A$6:$A$505,"&gt;"&amp;A153,Transactions!$A$6:$A$505,"&lt;="&amp;A154)-SUMIFS(Transactions!$J$6:$J$505,Transactions!$B$6:$B$505,"Withdrawal",Transactions!$A$6:$A$505,"&gt;"&amp;A153,Transactions!$A$6:$A$505,"&lt;="&amp;A154))</f>
        <v/>
      </c>
      <c r="D154" s="54">
        <f>IF(OR(A154="",B154=""),"",IF(B153="","",(B154-B153-C154)/(B153+0.5*C154)))</f>
        <v/>
      </c>
      <c r="E154" s="30" t="n"/>
      <c r="F154" s="54">
        <f>IF(OR(E154="",E153=""),"",E154/E153-1)</f>
        <v/>
      </c>
      <c r="G154" s="55">
        <f>IF(A154="","",Settings!$B$8/12)</f>
        <v/>
      </c>
      <c r="H154" s="54">
        <f>IF(D154="","",D154-G154)</f>
        <v/>
      </c>
      <c r="I154" s="54">
        <f>IF(F154="","",F154-G154)</f>
        <v/>
      </c>
      <c r="J154" s="54">
        <f>IF(OR(D154="",F154=""),"",D154-F154)</f>
        <v/>
      </c>
      <c r="K154" s="56">
        <f>IF(OR(A154="",B154=""),"",IF(D154="",K153,K153*(1+D154)))</f>
        <v/>
      </c>
      <c r="L154" s="56">
        <f>IF(E154="","",IF(F154="",L153,L153*(1+F154)))</f>
        <v/>
      </c>
      <c r="M154" s="33">
        <f>IF(K154="","",K154/MAX(K$6:K154)-1)</f>
        <v/>
      </c>
      <c r="N154" s="33">
        <f>IF(L154="","",L154/MAX(L$6:L154)-1)</f>
        <v/>
      </c>
      <c r="O154" s="57">
        <f>IF(H154="","",MIN(H154,0)^2)</f>
        <v/>
      </c>
      <c r="P154" s="58">
        <f>IF(A154="","",YEAR(A154))</f>
        <v/>
      </c>
      <c r="Q154" s="59">
        <f>IF(D154="","",LN(1+D154))</f>
        <v/>
      </c>
      <c r="R154" s="27" t="n"/>
    </row>
    <row r="155">
      <c r="A155" s="43" t="n"/>
      <c r="B155" s="53" t="n"/>
      <c r="C155" s="32">
        <f>IF(A155="","",SUMIFS(Transactions!$J$6:$J$505,Transactions!$B$6:$B$505,"Deposit",Transactions!$A$6:$A$505,"&gt;"&amp;A154,Transactions!$A$6:$A$505,"&lt;="&amp;A155)-SUMIFS(Transactions!$J$6:$J$505,Transactions!$B$6:$B$505,"Withdrawal",Transactions!$A$6:$A$505,"&gt;"&amp;A154,Transactions!$A$6:$A$505,"&lt;="&amp;A155))</f>
        <v/>
      </c>
      <c r="D155" s="54">
        <f>IF(OR(A155="",B155=""),"",IF(B154="","",(B155-B154-C155)/(B154+0.5*C155)))</f>
        <v/>
      </c>
      <c r="E155" s="30" t="n"/>
      <c r="F155" s="54">
        <f>IF(OR(E155="",E154=""),"",E155/E154-1)</f>
        <v/>
      </c>
      <c r="G155" s="55">
        <f>IF(A155="","",Settings!$B$8/12)</f>
        <v/>
      </c>
      <c r="H155" s="54">
        <f>IF(D155="","",D155-G155)</f>
        <v/>
      </c>
      <c r="I155" s="54">
        <f>IF(F155="","",F155-G155)</f>
        <v/>
      </c>
      <c r="J155" s="54">
        <f>IF(OR(D155="",F155=""),"",D155-F155)</f>
        <v/>
      </c>
      <c r="K155" s="56">
        <f>IF(OR(A155="",B155=""),"",IF(D155="",K154,K154*(1+D155)))</f>
        <v/>
      </c>
      <c r="L155" s="56">
        <f>IF(E155="","",IF(F155="",L154,L154*(1+F155)))</f>
        <v/>
      </c>
      <c r="M155" s="33">
        <f>IF(K155="","",K155/MAX(K$6:K155)-1)</f>
        <v/>
      </c>
      <c r="N155" s="33">
        <f>IF(L155="","",L155/MAX(L$6:L155)-1)</f>
        <v/>
      </c>
      <c r="O155" s="57">
        <f>IF(H155="","",MIN(H155,0)^2)</f>
        <v/>
      </c>
      <c r="P155" s="58">
        <f>IF(A155="","",YEAR(A155))</f>
        <v/>
      </c>
      <c r="Q155" s="59">
        <f>IF(D155="","",LN(1+D155))</f>
        <v/>
      </c>
      <c r="R155" s="27" t="n"/>
    </row>
    <row r="156">
      <c r="A156" s="43" t="n"/>
      <c r="B156" s="53" t="n"/>
      <c r="C156" s="32">
        <f>IF(A156="","",SUMIFS(Transactions!$J$6:$J$505,Transactions!$B$6:$B$505,"Deposit",Transactions!$A$6:$A$505,"&gt;"&amp;A155,Transactions!$A$6:$A$505,"&lt;="&amp;A156)-SUMIFS(Transactions!$J$6:$J$505,Transactions!$B$6:$B$505,"Withdrawal",Transactions!$A$6:$A$505,"&gt;"&amp;A155,Transactions!$A$6:$A$505,"&lt;="&amp;A156))</f>
        <v/>
      </c>
      <c r="D156" s="54">
        <f>IF(OR(A156="",B156=""),"",IF(B155="","",(B156-B155-C156)/(B155+0.5*C156)))</f>
        <v/>
      </c>
      <c r="E156" s="30" t="n"/>
      <c r="F156" s="54">
        <f>IF(OR(E156="",E155=""),"",E156/E155-1)</f>
        <v/>
      </c>
      <c r="G156" s="55">
        <f>IF(A156="","",Settings!$B$8/12)</f>
        <v/>
      </c>
      <c r="H156" s="54">
        <f>IF(D156="","",D156-G156)</f>
        <v/>
      </c>
      <c r="I156" s="54">
        <f>IF(F156="","",F156-G156)</f>
        <v/>
      </c>
      <c r="J156" s="54">
        <f>IF(OR(D156="",F156=""),"",D156-F156)</f>
        <v/>
      </c>
      <c r="K156" s="56">
        <f>IF(OR(A156="",B156=""),"",IF(D156="",K155,K155*(1+D156)))</f>
        <v/>
      </c>
      <c r="L156" s="56">
        <f>IF(E156="","",IF(F156="",L155,L155*(1+F156)))</f>
        <v/>
      </c>
      <c r="M156" s="33">
        <f>IF(K156="","",K156/MAX(K$6:K156)-1)</f>
        <v/>
      </c>
      <c r="N156" s="33">
        <f>IF(L156="","",L156/MAX(L$6:L156)-1)</f>
        <v/>
      </c>
      <c r="O156" s="57">
        <f>IF(H156="","",MIN(H156,0)^2)</f>
        <v/>
      </c>
      <c r="P156" s="58">
        <f>IF(A156="","",YEAR(A156))</f>
        <v/>
      </c>
      <c r="Q156" s="59">
        <f>IF(D156="","",LN(1+D156))</f>
        <v/>
      </c>
      <c r="R156" s="27" t="n"/>
    </row>
    <row r="157">
      <c r="A157" s="43" t="n"/>
      <c r="B157" s="53" t="n"/>
      <c r="C157" s="32">
        <f>IF(A157="","",SUMIFS(Transactions!$J$6:$J$505,Transactions!$B$6:$B$505,"Deposit",Transactions!$A$6:$A$505,"&gt;"&amp;A156,Transactions!$A$6:$A$505,"&lt;="&amp;A157)-SUMIFS(Transactions!$J$6:$J$505,Transactions!$B$6:$B$505,"Withdrawal",Transactions!$A$6:$A$505,"&gt;"&amp;A156,Transactions!$A$6:$A$505,"&lt;="&amp;A157))</f>
        <v/>
      </c>
      <c r="D157" s="54">
        <f>IF(OR(A157="",B157=""),"",IF(B156="","",(B157-B156-C157)/(B156+0.5*C157)))</f>
        <v/>
      </c>
      <c r="E157" s="30" t="n"/>
      <c r="F157" s="54">
        <f>IF(OR(E157="",E156=""),"",E157/E156-1)</f>
        <v/>
      </c>
      <c r="G157" s="55">
        <f>IF(A157="","",Settings!$B$8/12)</f>
        <v/>
      </c>
      <c r="H157" s="54">
        <f>IF(D157="","",D157-G157)</f>
        <v/>
      </c>
      <c r="I157" s="54">
        <f>IF(F157="","",F157-G157)</f>
        <v/>
      </c>
      <c r="J157" s="54">
        <f>IF(OR(D157="",F157=""),"",D157-F157)</f>
        <v/>
      </c>
      <c r="K157" s="56">
        <f>IF(OR(A157="",B157=""),"",IF(D157="",K156,K156*(1+D157)))</f>
        <v/>
      </c>
      <c r="L157" s="56">
        <f>IF(E157="","",IF(F157="",L156,L156*(1+F157)))</f>
        <v/>
      </c>
      <c r="M157" s="33">
        <f>IF(K157="","",K157/MAX(K$6:K157)-1)</f>
        <v/>
      </c>
      <c r="N157" s="33">
        <f>IF(L157="","",L157/MAX(L$6:L157)-1)</f>
        <v/>
      </c>
      <c r="O157" s="57">
        <f>IF(H157="","",MIN(H157,0)^2)</f>
        <v/>
      </c>
      <c r="P157" s="58">
        <f>IF(A157="","",YEAR(A157))</f>
        <v/>
      </c>
      <c r="Q157" s="59">
        <f>IF(D157="","",LN(1+D157))</f>
        <v/>
      </c>
      <c r="R157" s="27" t="n"/>
    </row>
    <row r="158">
      <c r="A158" s="43" t="n"/>
      <c r="B158" s="53" t="n"/>
      <c r="C158" s="32">
        <f>IF(A158="","",SUMIFS(Transactions!$J$6:$J$505,Transactions!$B$6:$B$505,"Deposit",Transactions!$A$6:$A$505,"&gt;"&amp;A157,Transactions!$A$6:$A$505,"&lt;="&amp;A158)-SUMIFS(Transactions!$J$6:$J$505,Transactions!$B$6:$B$505,"Withdrawal",Transactions!$A$6:$A$505,"&gt;"&amp;A157,Transactions!$A$6:$A$505,"&lt;="&amp;A158))</f>
        <v/>
      </c>
      <c r="D158" s="54">
        <f>IF(OR(A158="",B158=""),"",IF(B157="","",(B158-B157-C158)/(B157+0.5*C158)))</f>
        <v/>
      </c>
      <c r="E158" s="30" t="n"/>
      <c r="F158" s="54">
        <f>IF(OR(E158="",E157=""),"",E158/E157-1)</f>
        <v/>
      </c>
      <c r="G158" s="55">
        <f>IF(A158="","",Settings!$B$8/12)</f>
        <v/>
      </c>
      <c r="H158" s="54">
        <f>IF(D158="","",D158-G158)</f>
        <v/>
      </c>
      <c r="I158" s="54">
        <f>IF(F158="","",F158-G158)</f>
        <v/>
      </c>
      <c r="J158" s="54">
        <f>IF(OR(D158="",F158=""),"",D158-F158)</f>
        <v/>
      </c>
      <c r="K158" s="56">
        <f>IF(OR(A158="",B158=""),"",IF(D158="",K157,K157*(1+D158)))</f>
        <v/>
      </c>
      <c r="L158" s="56">
        <f>IF(E158="","",IF(F158="",L157,L157*(1+F158)))</f>
        <v/>
      </c>
      <c r="M158" s="33">
        <f>IF(K158="","",K158/MAX(K$6:K158)-1)</f>
        <v/>
      </c>
      <c r="N158" s="33">
        <f>IF(L158="","",L158/MAX(L$6:L158)-1)</f>
        <v/>
      </c>
      <c r="O158" s="57">
        <f>IF(H158="","",MIN(H158,0)^2)</f>
        <v/>
      </c>
      <c r="P158" s="58">
        <f>IF(A158="","",YEAR(A158))</f>
        <v/>
      </c>
      <c r="Q158" s="59">
        <f>IF(D158="","",LN(1+D158))</f>
        <v/>
      </c>
      <c r="R158" s="27" t="n"/>
    </row>
    <row r="159">
      <c r="A159" s="43" t="n"/>
      <c r="B159" s="53" t="n"/>
      <c r="C159" s="32">
        <f>IF(A159="","",SUMIFS(Transactions!$J$6:$J$505,Transactions!$B$6:$B$505,"Deposit",Transactions!$A$6:$A$505,"&gt;"&amp;A158,Transactions!$A$6:$A$505,"&lt;="&amp;A159)-SUMIFS(Transactions!$J$6:$J$505,Transactions!$B$6:$B$505,"Withdrawal",Transactions!$A$6:$A$505,"&gt;"&amp;A158,Transactions!$A$6:$A$505,"&lt;="&amp;A159))</f>
        <v/>
      </c>
      <c r="D159" s="54">
        <f>IF(OR(A159="",B159=""),"",IF(B158="","",(B159-B158-C159)/(B158+0.5*C159)))</f>
        <v/>
      </c>
      <c r="E159" s="30" t="n"/>
      <c r="F159" s="54">
        <f>IF(OR(E159="",E158=""),"",E159/E158-1)</f>
        <v/>
      </c>
      <c r="G159" s="55">
        <f>IF(A159="","",Settings!$B$8/12)</f>
        <v/>
      </c>
      <c r="H159" s="54">
        <f>IF(D159="","",D159-G159)</f>
        <v/>
      </c>
      <c r="I159" s="54">
        <f>IF(F159="","",F159-G159)</f>
        <v/>
      </c>
      <c r="J159" s="54">
        <f>IF(OR(D159="",F159=""),"",D159-F159)</f>
        <v/>
      </c>
      <c r="K159" s="56">
        <f>IF(OR(A159="",B159=""),"",IF(D159="",K158,K158*(1+D159)))</f>
        <v/>
      </c>
      <c r="L159" s="56">
        <f>IF(E159="","",IF(F159="",L158,L158*(1+F159)))</f>
        <v/>
      </c>
      <c r="M159" s="33">
        <f>IF(K159="","",K159/MAX(K$6:K159)-1)</f>
        <v/>
      </c>
      <c r="N159" s="33">
        <f>IF(L159="","",L159/MAX(L$6:L159)-1)</f>
        <v/>
      </c>
      <c r="O159" s="57">
        <f>IF(H159="","",MIN(H159,0)^2)</f>
        <v/>
      </c>
      <c r="P159" s="58">
        <f>IF(A159="","",YEAR(A159))</f>
        <v/>
      </c>
      <c r="Q159" s="59">
        <f>IF(D159="","",LN(1+D159))</f>
        <v/>
      </c>
      <c r="R159" s="27" t="n"/>
    </row>
    <row r="160">
      <c r="A160" s="43" t="n"/>
      <c r="B160" s="53" t="n"/>
      <c r="C160" s="32">
        <f>IF(A160="","",SUMIFS(Transactions!$J$6:$J$505,Transactions!$B$6:$B$505,"Deposit",Transactions!$A$6:$A$505,"&gt;"&amp;A159,Transactions!$A$6:$A$505,"&lt;="&amp;A160)-SUMIFS(Transactions!$J$6:$J$505,Transactions!$B$6:$B$505,"Withdrawal",Transactions!$A$6:$A$505,"&gt;"&amp;A159,Transactions!$A$6:$A$505,"&lt;="&amp;A160))</f>
        <v/>
      </c>
      <c r="D160" s="54">
        <f>IF(OR(A160="",B160=""),"",IF(B159="","",(B160-B159-C160)/(B159+0.5*C160)))</f>
        <v/>
      </c>
      <c r="E160" s="30" t="n"/>
      <c r="F160" s="54">
        <f>IF(OR(E160="",E159=""),"",E160/E159-1)</f>
        <v/>
      </c>
      <c r="G160" s="55">
        <f>IF(A160="","",Settings!$B$8/12)</f>
        <v/>
      </c>
      <c r="H160" s="54">
        <f>IF(D160="","",D160-G160)</f>
        <v/>
      </c>
      <c r="I160" s="54">
        <f>IF(F160="","",F160-G160)</f>
        <v/>
      </c>
      <c r="J160" s="54">
        <f>IF(OR(D160="",F160=""),"",D160-F160)</f>
        <v/>
      </c>
      <c r="K160" s="56">
        <f>IF(OR(A160="",B160=""),"",IF(D160="",K159,K159*(1+D160)))</f>
        <v/>
      </c>
      <c r="L160" s="56">
        <f>IF(E160="","",IF(F160="",L159,L159*(1+F160)))</f>
        <v/>
      </c>
      <c r="M160" s="33">
        <f>IF(K160="","",K160/MAX(K$6:K160)-1)</f>
        <v/>
      </c>
      <c r="N160" s="33">
        <f>IF(L160="","",L160/MAX(L$6:L160)-1)</f>
        <v/>
      </c>
      <c r="O160" s="57">
        <f>IF(H160="","",MIN(H160,0)^2)</f>
        <v/>
      </c>
      <c r="P160" s="58">
        <f>IF(A160="","",YEAR(A160))</f>
        <v/>
      </c>
      <c r="Q160" s="59">
        <f>IF(D160="","",LN(1+D160))</f>
        <v/>
      </c>
      <c r="R160" s="27" t="n"/>
    </row>
    <row r="161">
      <c r="A161" s="43" t="n"/>
      <c r="B161" s="53" t="n"/>
      <c r="C161" s="32">
        <f>IF(A161="","",SUMIFS(Transactions!$J$6:$J$505,Transactions!$B$6:$B$505,"Deposit",Transactions!$A$6:$A$505,"&gt;"&amp;A160,Transactions!$A$6:$A$505,"&lt;="&amp;A161)-SUMIFS(Transactions!$J$6:$J$505,Transactions!$B$6:$B$505,"Withdrawal",Transactions!$A$6:$A$505,"&gt;"&amp;A160,Transactions!$A$6:$A$505,"&lt;="&amp;A161))</f>
        <v/>
      </c>
      <c r="D161" s="54">
        <f>IF(OR(A161="",B161=""),"",IF(B160="","",(B161-B160-C161)/(B160+0.5*C161)))</f>
        <v/>
      </c>
      <c r="E161" s="30" t="n"/>
      <c r="F161" s="54">
        <f>IF(OR(E161="",E160=""),"",E161/E160-1)</f>
        <v/>
      </c>
      <c r="G161" s="55">
        <f>IF(A161="","",Settings!$B$8/12)</f>
        <v/>
      </c>
      <c r="H161" s="54">
        <f>IF(D161="","",D161-G161)</f>
        <v/>
      </c>
      <c r="I161" s="54">
        <f>IF(F161="","",F161-G161)</f>
        <v/>
      </c>
      <c r="J161" s="54">
        <f>IF(OR(D161="",F161=""),"",D161-F161)</f>
        <v/>
      </c>
      <c r="K161" s="56">
        <f>IF(OR(A161="",B161=""),"",IF(D161="",K160,K160*(1+D161)))</f>
        <v/>
      </c>
      <c r="L161" s="56">
        <f>IF(E161="","",IF(F161="",L160,L160*(1+F161)))</f>
        <v/>
      </c>
      <c r="M161" s="33">
        <f>IF(K161="","",K161/MAX(K$6:K161)-1)</f>
        <v/>
      </c>
      <c r="N161" s="33">
        <f>IF(L161="","",L161/MAX(L$6:L161)-1)</f>
        <v/>
      </c>
      <c r="O161" s="57">
        <f>IF(H161="","",MIN(H161,0)^2)</f>
        <v/>
      </c>
      <c r="P161" s="58">
        <f>IF(A161="","",YEAR(A161))</f>
        <v/>
      </c>
      <c r="Q161" s="59">
        <f>IF(D161="","",LN(1+D161))</f>
        <v/>
      </c>
      <c r="R161" s="27" t="n"/>
    </row>
    <row r="162">
      <c r="A162" s="43" t="n"/>
      <c r="B162" s="53" t="n"/>
      <c r="C162" s="32">
        <f>IF(A162="","",SUMIFS(Transactions!$J$6:$J$505,Transactions!$B$6:$B$505,"Deposit",Transactions!$A$6:$A$505,"&gt;"&amp;A161,Transactions!$A$6:$A$505,"&lt;="&amp;A162)-SUMIFS(Transactions!$J$6:$J$505,Transactions!$B$6:$B$505,"Withdrawal",Transactions!$A$6:$A$505,"&gt;"&amp;A161,Transactions!$A$6:$A$505,"&lt;="&amp;A162))</f>
        <v/>
      </c>
      <c r="D162" s="54">
        <f>IF(OR(A162="",B162=""),"",IF(B161="","",(B162-B161-C162)/(B161+0.5*C162)))</f>
        <v/>
      </c>
      <c r="E162" s="30" t="n"/>
      <c r="F162" s="54">
        <f>IF(OR(E162="",E161=""),"",E162/E161-1)</f>
        <v/>
      </c>
      <c r="G162" s="55">
        <f>IF(A162="","",Settings!$B$8/12)</f>
        <v/>
      </c>
      <c r="H162" s="54">
        <f>IF(D162="","",D162-G162)</f>
        <v/>
      </c>
      <c r="I162" s="54">
        <f>IF(F162="","",F162-G162)</f>
        <v/>
      </c>
      <c r="J162" s="54">
        <f>IF(OR(D162="",F162=""),"",D162-F162)</f>
        <v/>
      </c>
      <c r="K162" s="56">
        <f>IF(OR(A162="",B162=""),"",IF(D162="",K161,K161*(1+D162)))</f>
        <v/>
      </c>
      <c r="L162" s="56">
        <f>IF(E162="","",IF(F162="",L161,L161*(1+F162)))</f>
        <v/>
      </c>
      <c r="M162" s="33">
        <f>IF(K162="","",K162/MAX(K$6:K162)-1)</f>
        <v/>
      </c>
      <c r="N162" s="33">
        <f>IF(L162="","",L162/MAX(L$6:L162)-1)</f>
        <v/>
      </c>
      <c r="O162" s="57">
        <f>IF(H162="","",MIN(H162,0)^2)</f>
        <v/>
      </c>
      <c r="P162" s="58">
        <f>IF(A162="","",YEAR(A162))</f>
        <v/>
      </c>
      <c r="Q162" s="59">
        <f>IF(D162="","",LN(1+D162))</f>
        <v/>
      </c>
      <c r="R162" s="27" t="n"/>
    </row>
    <row r="163">
      <c r="A163" s="43" t="n"/>
      <c r="B163" s="53" t="n"/>
      <c r="C163" s="32">
        <f>IF(A163="","",SUMIFS(Transactions!$J$6:$J$505,Transactions!$B$6:$B$505,"Deposit",Transactions!$A$6:$A$505,"&gt;"&amp;A162,Transactions!$A$6:$A$505,"&lt;="&amp;A163)-SUMIFS(Transactions!$J$6:$J$505,Transactions!$B$6:$B$505,"Withdrawal",Transactions!$A$6:$A$505,"&gt;"&amp;A162,Transactions!$A$6:$A$505,"&lt;="&amp;A163))</f>
        <v/>
      </c>
      <c r="D163" s="54">
        <f>IF(OR(A163="",B163=""),"",IF(B162="","",(B163-B162-C163)/(B162+0.5*C163)))</f>
        <v/>
      </c>
      <c r="E163" s="30" t="n"/>
      <c r="F163" s="54">
        <f>IF(OR(E163="",E162=""),"",E163/E162-1)</f>
        <v/>
      </c>
      <c r="G163" s="55">
        <f>IF(A163="","",Settings!$B$8/12)</f>
        <v/>
      </c>
      <c r="H163" s="54">
        <f>IF(D163="","",D163-G163)</f>
        <v/>
      </c>
      <c r="I163" s="54">
        <f>IF(F163="","",F163-G163)</f>
        <v/>
      </c>
      <c r="J163" s="54">
        <f>IF(OR(D163="",F163=""),"",D163-F163)</f>
        <v/>
      </c>
      <c r="K163" s="56">
        <f>IF(OR(A163="",B163=""),"",IF(D163="",K162,K162*(1+D163)))</f>
        <v/>
      </c>
      <c r="L163" s="56">
        <f>IF(E163="","",IF(F163="",L162,L162*(1+F163)))</f>
        <v/>
      </c>
      <c r="M163" s="33">
        <f>IF(K163="","",K163/MAX(K$6:K163)-1)</f>
        <v/>
      </c>
      <c r="N163" s="33">
        <f>IF(L163="","",L163/MAX(L$6:L163)-1)</f>
        <v/>
      </c>
      <c r="O163" s="57">
        <f>IF(H163="","",MIN(H163,0)^2)</f>
        <v/>
      </c>
      <c r="P163" s="58">
        <f>IF(A163="","",YEAR(A163))</f>
        <v/>
      </c>
      <c r="Q163" s="59">
        <f>IF(D163="","",LN(1+D163))</f>
        <v/>
      </c>
      <c r="R163" s="27" t="n"/>
    </row>
    <row r="164">
      <c r="A164" s="43" t="n"/>
      <c r="B164" s="53" t="n"/>
      <c r="C164" s="32">
        <f>IF(A164="","",SUMIFS(Transactions!$J$6:$J$505,Transactions!$B$6:$B$505,"Deposit",Transactions!$A$6:$A$505,"&gt;"&amp;A163,Transactions!$A$6:$A$505,"&lt;="&amp;A164)-SUMIFS(Transactions!$J$6:$J$505,Transactions!$B$6:$B$505,"Withdrawal",Transactions!$A$6:$A$505,"&gt;"&amp;A163,Transactions!$A$6:$A$505,"&lt;="&amp;A164))</f>
        <v/>
      </c>
      <c r="D164" s="54">
        <f>IF(OR(A164="",B164=""),"",IF(B163="","",(B164-B163-C164)/(B163+0.5*C164)))</f>
        <v/>
      </c>
      <c r="E164" s="30" t="n"/>
      <c r="F164" s="54">
        <f>IF(OR(E164="",E163=""),"",E164/E163-1)</f>
        <v/>
      </c>
      <c r="G164" s="55">
        <f>IF(A164="","",Settings!$B$8/12)</f>
        <v/>
      </c>
      <c r="H164" s="54">
        <f>IF(D164="","",D164-G164)</f>
        <v/>
      </c>
      <c r="I164" s="54">
        <f>IF(F164="","",F164-G164)</f>
        <v/>
      </c>
      <c r="J164" s="54">
        <f>IF(OR(D164="",F164=""),"",D164-F164)</f>
        <v/>
      </c>
      <c r="K164" s="56">
        <f>IF(OR(A164="",B164=""),"",IF(D164="",K163,K163*(1+D164)))</f>
        <v/>
      </c>
      <c r="L164" s="56">
        <f>IF(E164="","",IF(F164="",L163,L163*(1+F164)))</f>
        <v/>
      </c>
      <c r="M164" s="33">
        <f>IF(K164="","",K164/MAX(K$6:K164)-1)</f>
        <v/>
      </c>
      <c r="N164" s="33">
        <f>IF(L164="","",L164/MAX(L$6:L164)-1)</f>
        <v/>
      </c>
      <c r="O164" s="57">
        <f>IF(H164="","",MIN(H164,0)^2)</f>
        <v/>
      </c>
      <c r="P164" s="58">
        <f>IF(A164="","",YEAR(A164))</f>
        <v/>
      </c>
      <c r="Q164" s="59">
        <f>IF(D164="","",LN(1+D164))</f>
        <v/>
      </c>
      <c r="R164" s="27" t="n"/>
    </row>
    <row r="165">
      <c r="A165" s="43" t="n"/>
      <c r="B165" s="53" t="n"/>
      <c r="C165" s="32">
        <f>IF(A165="","",SUMIFS(Transactions!$J$6:$J$505,Transactions!$B$6:$B$505,"Deposit",Transactions!$A$6:$A$505,"&gt;"&amp;A164,Transactions!$A$6:$A$505,"&lt;="&amp;A165)-SUMIFS(Transactions!$J$6:$J$505,Transactions!$B$6:$B$505,"Withdrawal",Transactions!$A$6:$A$505,"&gt;"&amp;A164,Transactions!$A$6:$A$505,"&lt;="&amp;A165))</f>
        <v/>
      </c>
      <c r="D165" s="54">
        <f>IF(OR(A165="",B165=""),"",IF(B164="","",(B165-B164-C165)/(B164+0.5*C165)))</f>
        <v/>
      </c>
      <c r="E165" s="30" t="n"/>
      <c r="F165" s="54">
        <f>IF(OR(E165="",E164=""),"",E165/E164-1)</f>
        <v/>
      </c>
      <c r="G165" s="55">
        <f>IF(A165="","",Settings!$B$8/12)</f>
        <v/>
      </c>
      <c r="H165" s="54">
        <f>IF(D165="","",D165-G165)</f>
        <v/>
      </c>
      <c r="I165" s="54">
        <f>IF(F165="","",F165-G165)</f>
        <v/>
      </c>
      <c r="J165" s="54">
        <f>IF(OR(D165="",F165=""),"",D165-F165)</f>
        <v/>
      </c>
      <c r="K165" s="56">
        <f>IF(OR(A165="",B165=""),"",IF(D165="",K164,K164*(1+D165)))</f>
        <v/>
      </c>
      <c r="L165" s="56">
        <f>IF(E165="","",IF(F165="",L164,L164*(1+F165)))</f>
        <v/>
      </c>
      <c r="M165" s="33">
        <f>IF(K165="","",K165/MAX(K$6:K165)-1)</f>
        <v/>
      </c>
      <c r="N165" s="33">
        <f>IF(L165="","",L165/MAX(L$6:L165)-1)</f>
        <v/>
      </c>
      <c r="O165" s="57">
        <f>IF(H165="","",MIN(H165,0)^2)</f>
        <v/>
      </c>
      <c r="P165" s="58">
        <f>IF(A165="","",YEAR(A165))</f>
        <v/>
      </c>
      <c r="Q165" s="59">
        <f>IF(D165="","",LN(1+D165))</f>
        <v/>
      </c>
      <c r="R165" s="27" t="n"/>
    </row>
    <row r="166">
      <c r="A166" s="43" t="n"/>
      <c r="B166" s="53" t="n"/>
      <c r="C166" s="32">
        <f>IF(A166="","",SUMIFS(Transactions!$J$6:$J$505,Transactions!$B$6:$B$505,"Deposit",Transactions!$A$6:$A$505,"&gt;"&amp;A165,Transactions!$A$6:$A$505,"&lt;="&amp;A166)-SUMIFS(Transactions!$J$6:$J$505,Transactions!$B$6:$B$505,"Withdrawal",Transactions!$A$6:$A$505,"&gt;"&amp;A165,Transactions!$A$6:$A$505,"&lt;="&amp;A166))</f>
        <v/>
      </c>
      <c r="D166" s="54">
        <f>IF(OR(A166="",B166=""),"",IF(B165="","",(B166-B165-C166)/(B165+0.5*C166)))</f>
        <v/>
      </c>
      <c r="E166" s="30" t="n"/>
      <c r="F166" s="54">
        <f>IF(OR(E166="",E165=""),"",E166/E165-1)</f>
        <v/>
      </c>
      <c r="G166" s="55">
        <f>IF(A166="","",Settings!$B$8/12)</f>
        <v/>
      </c>
      <c r="H166" s="54">
        <f>IF(D166="","",D166-G166)</f>
        <v/>
      </c>
      <c r="I166" s="54">
        <f>IF(F166="","",F166-G166)</f>
        <v/>
      </c>
      <c r="J166" s="54">
        <f>IF(OR(D166="",F166=""),"",D166-F166)</f>
        <v/>
      </c>
      <c r="K166" s="56">
        <f>IF(OR(A166="",B166=""),"",IF(D166="",K165,K165*(1+D166)))</f>
        <v/>
      </c>
      <c r="L166" s="56">
        <f>IF(E166="","",IF(F166="",L165,L165*(1+F166)))</f>
        <v/>
      </c>
      <c r="M166" s="33">
        <f>IF(K166="","",K166/MAX(K$6:K166)-1)</f>
        <v/>
      </c>
      <c r="N166" s="33">
        <f>IF(L166="","",L166/MAX(L$6:L166)-1)</f>
        <v/>
      </c>
      <c r="O166" s="57">
        <f>IF(H166="","",MIN(H166,0)^2)</f>
        <v/>
      </c>
      <c r="P166" s="58">
        <f>IF(A166="","",YEAR(A166))</f>
        <v/>
      </c>
      <c r="Q166" s="59">
        <f>IF(D166="","",LN(1+D166))</f>
        <v/>
      </c>
      <c r="R166" s="27" t="n"/>
    </row>
    <row r="167">
      <c r="A167" s="43" t="n"/>
      <c r="B167" s="53" t="n"/>
      <c r="C167" s="32">
        <f>IF(A167="","",SUMIFS(Transactions!$J$6:$J$505,Transactions!$B$6:$B$505,"Deposit",Transactions!$A$6:$A$505,"&gt;"&amp;A166,Transactions!$A$6:$A$505,"&lt;="&amp;A167)-SUMIFS(Transactions!$J$6:$J$505,Transactions!$B$6:$B$505,"Withdrawal",Transactions!$A$6:$A$505,"&gt;"&amp;A166,Transactions!$A$6:$A$505,"&lt;="&amp;A167))</f>
        <v/>
      </c>
      <c r="D167" s="54">
        <f>IF(OR(A167="",B167=""),"",IF(B166="","",(B167-B166-C167)/(B166+0.5*C167)))</f>
        <v/>
      </c>
      <c r="E167" s="30" t="n"/>
      <c r="F167" s="54">
        <f>IF(OR(E167="",E166=""),"",E167/E166-1)</f>
        <v/>
      </c>
      <c r="G167" s="55">
        <f>IF(A167="","",Settings!$B$8/12)</f>
        <v/>
      </c>
      <c r="H167" s="54">
        <f>IF(D167="","",D167-G167)</f>
        <v/>
      </c>
      <c r="I167" s="54">
        <f>IF(F167="","",F167-G167)</f>
        <v/>
      </c>
      <c r="J167" s="54">
        <f>IF(OR(D167="",F167=""),"",D167-F167)</f>
        <v/>
      </c>
      <c r="K167" s="56">
        <f>IF(OR(A167="",B167=""),"",IF(D167="",K166,K166*(1+D167)))</f>
        <v/>
      </c>
      <c r="L167" s="56">
        <f>IF(E167="","",IF(F167="",L166,L166*(1+F167)))</f>
        <v/>
      </c>
      <c r="M167" s="33">
        <f>IF(K167="","",K167/MAX(K$6:K167)-1)</f>
        <v/>
      </c>
      <c r="N167" s="33">
        <f>IF(L167="","",L167/MAX(L$6:L167)-1)</f>
        <v/>
      </c>
      <c r="O167" s="57">
        <f>IF(H167="","",MIN(H167,0)^2)</f>
        <v/>
      </c>
      <c r="P167" s="58">
        <f>IF(A167="","",YEAR(A167))</f>
        <v/>
      </c>
      <c r="Q167" s="59">
        <f>IF(D167="","",LN(1+D167))</f>
        <v/>
      </c>
      <c r="R167" s="27" t="n"/>
    </row>
    <row r="168">
      <c r="A168" s="43" t="n"/>
      <c r="B168" s="53" t="n"/>
      <c r="C168" s="32">
        <f>IF(A168="","",SUMIFS(Transactions!$J$6:$J$505,Transactions!$B$6:$B$505,"Deposit",Transactions!$A$6:$A$505,"&gt;"&amp;A167,Transactions!$A$6:$A$505,"&lt;="&amp;A168)-SUMIFS(Transactions!$J$6:$J$505,Transactions!$B$6:$B$505,"Withdrawal",Transactions!$A$6:$A$505,"&gt;"&amp;A167,Transactions!$A$6:$A$505,"&lt;="&amp;A168))</f>
        <v/>
      </c>
      <c r="D168" s="54">
        <f>IF(OR(A168="",B168=""),"",IF(B167="","",(B168-B167-C168)/(B167+0.5*C168)))</f>
        <v/>
      </c>
      <c r="E168" s="30" t="n"/>
      <c r="F168" s="54">
        <f>IF(OR(E168="",E167=""),"",E168/E167-1)</f>
        <v/>
      </c>
      <c r="G168" s="55">
        <f>IF(A168="","",Settings!$B$8/12)</f>
        <v/>
      </c>
      <c r="H168" s="54">
        <f>IF(D168="","",D168-G168)</f>
        <v/>
      </c>
      <c r="I168" s="54">
        <f>IF(F168="","",F168-G168)</f>
        <v/>
      </c>
      <c r="J168" s="54">
        <f>IF(OR(D168="",F168=""),"",D168-F168)</f>
        <v/>
      </c>
      <c r="K168" s="56">
        <f>IF(OR(A168="",B168=""),"",IF(D168="",K167,K167*(1+D168)))</f>
        <v/>
      </c>
      <c r="L168" s="56">
        <f>IF(E168="","",IF(F168="",L167,L167*(1+F168)))</f>
        <v/>
      </c>
      <c r="M168" s="33">
        <f>IF(K168="","",K168/MAX(K$6:K168)-1)</f>
        <v/>
      </c>
      <c r="N168" s="33">
        <f>IF(L168="","",L168/MAX(L$6:L168)-1)</f>
        <v/>
      </c>
      <c r="O168" s="57">
        <f>IF(H168="","",MIN(H168,0)^2)</f>
        <v/>
      </c>
      <c r="P168" s="58">
        <f>IF(A168="","",YEAR(A168))</f>
        <v/>
      </c>
      <c r="Q168" s="59">
        <f>IF(D168="","",LN(1+D168))</f>
        <v/>
      </c>
      <c r="R168" s="27" t="n"/>
    </row>
    <row r="169">
      <c r="A169" s="43" t="n"/>
      <c r="B169" s="53" t="n"/>
      <c r="C169" s="32">
        <f>IF(A169="","",SUMIFS(Transactions!$J$6:$J$505,Transactions!$B$6:$B$505,"Deposit",Transactions!$A$6:$A$505,"&gt;"&amp;A168,Transactions!$A$6:$A$505,"&lt;="&amp;A169)-SUMIFS(Transactions!$J$6:$J$505,Transactions!$B$6:$B$505,"Withdrawal",Transactions!$A$6:$A$505,"&gt;"&amp;A168,Transactions!$A$6:$A$505,"&lt;="&amp;A169))</f>
        <v/>
      </c>
      <c r="D169" s="54">
        <f>IF(OR(A169="",B169=""),"",IF(B168="","",(B169-B168-C169)/(B168+0.5*C169)))</f>
        <v/>
      </c>
      <c r="E169" s="30" t="n"/>
      <c r="F169" s="54">
        <f>IF(OR(E169="",E168=""),"",E169/E168-1)</f>
        <v/>
      </c>
      <c r="G169" s="55">
        <f>IF(A169="","",Settings!$B$8/12)</f>
        <v/>
      </c>
      <c r="H169" s="54">
        <f>IF(D169="","",D169-G169)</f>
        <v/>
      </c>
      <c r="I169" s="54">
        <f>IF(F169="","",F169-G169)</f>
        <v/>
      </c>
      <c r="J169" s="54">
        <f>IF(OR(D169="",F169=""),"",D169-F169)</f>
        <v/>
      </c>
      <c r="K169" s="56">
        <f>IF(OR(A169="",B169=""),"",IF(D169="",K168,K168*(1+D169)))</f>
        <v/>
      </c>
      <c r="L169" s="56">
        <f>IF(E169="","",IF(F169="",L168,L168*(1+F169)))</f>
        <v/>
      </c>
      <c r="M169" s="33">
        <f>IF(K169="","",K169/MAX(K$6:K169)-1)</f>
        <v/>
      </c>
      <c r="N169" s="33">
        <f>IF(L169="","",L169/MAX(L$6:L169)-1)</f>
        <v/>
      </c>
      <c r="O169" s="57">
        <f>IF(H169="","",MIN(H169,0)^2)</f>
        <v/>
      </c>
      <c r="P169" s="58">
        <f>IF(A169="","",YEAR(A169))</f>
        <v/>
      </c>
      <c r="Q169" s="59">
        <f>IF(D169="","",LN(1+D169))</f>
        <v/>
      </c>
      <c r="R169" s="27" t="n"/>
    </row>
    <row r="170">
      <c r="A170" s="43" t="n"/>
      <c r="B170" s="53" t="n"/>
      <c r="C170" s="32">
        <f>IF(A170="","",SUMIFS(Transactions!$J$6:$J$505,Transactions!$B$6:$B$505,"Deposit",Transactions!$A$6:$A$505,"&gt;"&amp;A169,Transactions!$A$6:$A$505,"&lt;="&amp;A170)-SUMIFS(Transactions!$J$6:$J$505,Transactions!$B$6:$B$505,"Withdrawal",Transactions!$A$6:$A$505,"&gt;"&amp;A169,Transactions!$A$6:$A$505,"&lt;="&amp;A170))</f>
        <v/>
      </c>
      <c r="D170" s="54">
        <f>IF(OR(A170="",B170=""),"",IF(B169="","",(B170-B169-C170)/(B169+0.5*C170)))</f>
        <v/>
      </c>
      <c r="E170" s="30" t="n"/>
      <c r="F170" s="54">
        <f>IF(OR(E170="",E169=""),"",E170/E169-1)</f>
        <v/>
      </c>
      <c r="G170" s="55">
        <f>IF(A170="","",Settings!$B$8/12)</f>
        <v/>
      </c>
      <c r="H170" s="54">
        <f>IF(D170="","",D170-G170)</f>
        <v/>
      </c>
      <c r="I170" s="54">
        <f>IF(F170="","",F170-G170)</f>
        <v/>
      </c>
      <c r="J170" s="54">
        <f>IF(OR(D170="",F170=""),"",D170-F170)</f>
        <v/>
      </c>
      <c r="K170" s="56">
        <f>IF(OR(A170="",B170=""),"",IF(D170="",K169,K169*(1+D170)))</f>
        <v/>
      </c>
      <c r="L170" s="56">
        <f>IF(E170="","",IF(F170="",L169,L169*(1+F170)))</f>
        <v/>
      </c>
      <c r="M170" s="33">
        <f>IF(K170="","",K170/MAX(K$6:K170)-1)</f>
        <v/>
      </c>
      <c r="N170" s="33">
        <f>IF(L170="","",L170/MAX(L$6:L170)-1)</f>
        <v/>
      </c>
      <c r="O170" s="57">
        <f>IF(H170="","",MIN(H170,0)^2)</f>
        <v/>
      </c>
      <c r="P170" s="58">
        <f>IF(A170="","",YEAR(A170))</f>
        <v/>
      </c>
      <c r="Q170" s="59">
        <f>IF(D170="","",LN(1+D170))</f>
        <v/>
      </c>
      <c r="R170" s="27" t="n"/>
    </row>
    <row r="171">
      <c r="A171" s="43" t="n"/>
      <c r="B171" s="53" t="n"/>
      <c r="C171" s="32">
        <f>IF(A171="","",SUMIFS(Transactions!$J$6:$J$505,Transactions!$B$6:$B$505,"Deposit",Transactions!$A$6:$A$505,"&gt;"&amp;A170,Transactions!$A$6:$A$505,"&lt;="&amp;A171)-SUMIFS(Transactions!$J$6:$J$505,Transactions!$B$6:$B$505,"Withdrawal",Transactions!$A$6:$A$505,"&gt;"&amp;A170,Transactions!$A$6:$A$505,"&lt;="&amp;A171))</f>
        <v/>
      </c>
      <c r="D171" s="54">
        <f>IF(OR(A171="",B171=""),"",IF(B170="","",(B171-B170-C171)/(B170+0.5*C171)))</f>
        <v/>
      </c>
      <c r="E171" s="30" t="n"/>
      <c r="F171" s="54">
        <f>IF(OR(E171="",E170=""),"",E171/E170-1)</f>
        <v/>
      </c>
      <c r="G171" s="55">
        <f>IF(A171="","",Settings!$B$8/12)</f>
        <v/>
      </c>
      <c r="H171" s="54">
        <f>IF(D171="","",D171-G171)</f>
        <v/>
      </c>
      <c r="I171" s="54">
        <f>IF(F171="","",F171-G171)</f>
        <v/>
      </c>
      <c r="J171" s="54">
        <f>IF(OR(D171="",F171=""),"",D171-F171)</f>
        <v/>
      </c>
      <c r="K171" s="56">
        <f>IF(OR(A171="",B171=""),"",IF(D171="",K170,K170*(1+D171)))</f>
        <v/>
      </c>
      <c r="L171" s="56">
        <f>IF(E171="","",IF(F171="",L170,L170*(1+F171)))</f>
        <v/>
      </c>
      <c r="M171" s="33">
        <f>IF(K171="","",K171/MAX(K$6:K171)-1)</f>
        <v/>
      </c>
      <c r="N171" s="33">
        <f>IF(L171="","",L171/MAX(L$6:L171)-1)</f>
        <v/>
      </c>
      <c r="O171" s="57">
        <f>IF(H171="","",MIN(H171,0)^2)</f>
        <v/>
      </c>
      <c r="P171" s="58">
        <f>IF(A171="","",YEAR(A171))</f>
        <v/>
      </c>
      <c r="Q171" s="59">
        <f>IF(D171="","",LN(1+D171))</f>
        <v/>
      </c>
      <c r="R171" s="27" t="n"/>
    </row>
    <row r="172">
      <c r="A172" s="43" t="n"/>
      <c r="B172" s="53" t="n"/>
      <c r="C172" s="32">
        <f>IF(A172="","",SUMIFS(Transactions!$J$6:$J$505,Transactions!$B$6:$B$505,"Deposit",Transactions!$A$6:$A$505,"&gt;"&amp;A171,Transactions!$A$6:$A$505,"&lt;="&amp;A172)-SUMIFS(Transactions!$J$6:$J$505,Transactions!$B$6:$B$505,"Withdrawal",Transactions!$A$6:$A$505,"&gt;"&amp;A171,Transactions!$A$6:$A$505,"&lt;="&amp;A172))</f>
        <v/>
      </c>
      <c r="D172" s="54">
        <f>IF(OR(A172="",B172=""),"",IF(B171="","",(B172-B171-C172)/(B171+0.5*C172)))</f>
        <v/>
      </c>
      <c r="E172" s="30" t="n"/>
      <c r="F172" s="54">
        <f>IF(OR(E172="",E171=""),"",E172/E171-1)</f>
        <v/>
      </c>
      <c r="G172" s="55">
        <f>IF(A172="","",Settings!$B$8/12)</f>
        <v/>
      </c>
      <c r="H172" s="54">
        <f>IF(D172="","",D172-G172)</f>
        <v/>
      </c>
      <c r="I172" s="54">
        <f>IF(F172="","",F172-G172)</f>
        <v/>
      </c>
      <c r="J172" s="54">
        <f>IF(OR(D172="",F172=""),"",D172-F172)</f>
        <v/>
      </c>
      <c r="K172" s="56">
        <f>IF(OR(A172="",B172=""),"",IF(D172="",K171,K171*(1+D172)))</f>
        <v/>
      </c>
      <c r="L172" s="56">
        <f>IF(E172="","",IF(F172="",L171,L171*(1+F172)))</f>
        <v/>
      </c>
      <c r="M172" s="33">
        <f>IF(K172="","",K172/MAX(K$6:K172)-1)</f>
        <v/>
      </c>
      <c r="N172" s="33">
        <f>IF(L172="","",L172/MAX(L$6:L172)-1)</f>
        <v/>
      </c>
      <c r="O172" s="57">
        <f>IF(H172="","",MIN(H172,0)^2)</f>
        <v/>
      </c>
      <c r="P172" s="58">
        <f>IF(A172="","",YEAR(A172))</f>
        <v/>
      </c>
      <c r="Q172" s="59">
        <f>IF(D172="","",LN(1+D172))</f>
        <v/>
      </c>
      <c r="R172" s="27" t="n"/>
    </row>
    <row r="173">
      <c r="A173" s="43" t="n"/>
      <c r="B173" s="53" t="n"/>
      <c r="C173" s="32">
        <f>IF(A173="","",SUMIFS(Transactions!$J$6:$J$505,Transactions!$B$6:$B$505,"Deposit",Transactions!$A$6:$A$505,"&gt;"&amp;A172,Transactions!$A$6:$A$505,"&lt;="&amp;A173)-SUMIFS(Transactions!$J$6:$J$505,Transactions!$B$6:$B$505,"Withdrawal",Transactions!$A$6:$A$505,"&gt;"&amp;A172,Transactions!$A$6:$A$505,"&lt;="&amp;A173))</f>
        <v/>
      </c>
      <c r="D173" s="54">
        <f>IF(OR(A173="",B173=""),"",IF(B172="","",(B173-B172-C173)/(B172+0.5*C173)))</f>
        <v/>
      </c>
      <c r="E173" s="30" t="n"/>
      <c r="F173" s="54">
        <f>IF(OR(E173="",E172=""),"",E173/E172-1)</f>
        <v/>
      </c>
      <c r="G173" s="55">
        <f>IF(A173="","",Settings!$B$8/12)</f>
        <v/>
      </c>
      <c r="H173" s="54">
        <f>IF(D173="","",D173-G173)</f>
        <v/>
      </c>
      <c r="I173" s="54">
        <f>IF(F173="","",F173-G173)</f>
        <v/>
      </c>
      <c r="J173" s="54">
        <f>IF(OR(D173="",F173=""),"",D173-F173)</f>
        <v/>
      </c>
      <c r="K173" s="56">
        <f>IF(OR(A173="",B173=""),"",IF(D173="",K172,K172*(1+D173)))</f>
        <v/>
      </c>
      <c r="L173" s="56">
        <f>IF(E173="","",IF(F173="",L172,L172*(1+F173)))</f>
        <v/>
      </c>
      <c r="M173" s="33">
        <f>IF(K173="","",K173/MAX(K$6:K173)-1)</f>
        <v/>
      </c>
      <c r="N173" s="33">
        <f>IF(L173="","",L173/MAX(L$6:L173)-1)</f>
        <v/>
      </c>
      <c r="O173" s="57">
        <f>IF(H173="","",MIN(H173,0)^2)</f>
        <v/>
      </c>
      <c r="P173" s="58">
        <f>IF(A173="","",YEAR(A173))</f>
        <v/>
      </c>
      <c r="Q173" s="59">
        <f>IF(D173="","",LN(1+D173))</f>
        <v/>
      </c>
      <c r="R173" s="27" t="n"/>
    </row>
    <row r="174">
      <c r="A174" s="43" t="n"/>
      <c r="B174" s="53" t="n"/>
      <c r="C174" s="32">
        <f>IF(A174="","",SUMIFS(Transactions!$J$6:$J$505,Transactions!$B$6:$B$505,"Deposit",Transactions!$A$6:$A$505,"&gt;"&amp;A173,Transactions!$A$6:$A$505,"&lt;="&amp;A174)-SUMIFS(Transactions!$J$6:$J$505,Transactions!$B$6:$B$505,"Withdrawal",Transactions!$A$6:$A$505,"&gt;"&amp;A173,Transactions!$A$6:$A$505,"&lt;="&amp;A174))</f>
        <v/>
      </c>
      <c r="D174" s="54">
        <f>IF(OR(A174="",B174=""),"",IF(B173="","",(B174-B173-C174)/(B173+0.5*C174)))</f>
        <v/>
      </c>
      <c r="E174" s="30" t="n"/>
      <c r="F174" s="54">
        <f>IF(OR(E174="",E173=""),"",E174/E173-1)</f>
        <v/>
      </c>
      <c r="G174" s="55">
        <f>IF(A174="","",Settings!$B$8/12)</f>
        <v/>
      </c>
      <c r="H174" s="54">
        <f>IF(D174="","",D174-G174)</f>
        <v/>
      </c>
      <c r="I174" s="54">
        <f>IF(F174="","",F174-G174)</f>
        <v/>
      </c>
      <c r="J174" s="54">
        <f>IF(OR(D174="",F174=""),"",D174-F174)</f>
        <v/>
      </c>
      <c r="K174" s="56">
        <f>IF(OR(A174="",B174=""),"",IF(D174="",K173,K173*(1+D174)))</f>
        <v/>
      </c>
      <c r="L174" s="56">
        <f>IF(E174="","",IF(F174="",L173,L173*(1+F174)))</f>
        <v/>
      </c>
      <c r="M174" s="33">
        <f>IF(K174="","",K174/MAX(K$6:K174)-1)</f>
        <v/>
      </c>
      <c r="N174" s="33">
        <f>IF(L174="","",L174/MAX(L$6:L174)-1)</f>
        <v/>
      </c>
      <c r="O174" s="57">
        <f>IF(H174="","",MIN(H174,0)^2)</f>
        <v/>
      </c>
      <c r="P174" s="58">
        <f>IF(A174="","",YEAR(A174))</f>
        <v/>
      </c>
      <c r="Q174" s="59">
        <f>IF(D174="","",LN(1+D174))</f>
        <v/>
      </c>
      <c r="R174" s="27" t="n"/>
    </row>
    <row r="175">
      <c r="A175" s="43" t="n"/>
      <c r="B175" s="53" t="n"/>
      <c r="C175" s="32">
        <f>IF(A175="","",SUMIFS(Transactions!$J$6:$J$505,Transactions!$B$6:$B$505,"Deposit",Transactions!$A$6:$A$505,"&gt;"&amp;A174,Transactions!$A$6:$A$505,"&lt;="&amp;A175)-SUMIFS(Transactions!$J$6:$J$505,Transactions!$B$6:$B$505,"Withdrawal",Transactions!$A$6:$A$505,"&gt;"&amp;A174,Transactions!$A$6:$A$505,"&lt;="&amp;A175))</f>
        <v/>
      </c>
      <c r="D175" s="54">
        <f>IF(OR(A175="",B175=""),"",IF(B174="","",(B175-B174-C175)/(B174+0.5*C175)))</f>
        <v/>
      </c>
      <c r="E175" s="30" t="n"/>
      <c r="F175" s="54">
        <f>IF(OR(E175="",E174=""),"",E175/E174-1)</f>
        <v/>
      </c>
      <c r="G175" s="55">
        <f>IF(A175="","",Settings!$B$8/12)</f>
        <v/>
      </c>
      <c r="H175" s="54">
        <f>IF(D175="","",D175-G175)</f>
        <v/>
      </c>
      <c r="I175" s="54">
        <f>IF(F175="","",F175-G175)</f>
        <v/>
      </c>
      <c r="J175" s="54">
        <f>IF(OR(D175="",F175=""),"",D175-F175)</f>
        <v/>
      </c>
      <c r="K175" s="56">
        <f>IF(OR(A175="",B175=""),"",IF(D175="",K174,K174*(1+D175)))</f>
        <v/>
      </c>
      <c r="L175" s="56">
        <f>IF(E175="","",IF(F175="",L174,L174*(1+F175)))</f>
        <v/>
      </c>
      <c r="M175" s="33">
        <f>IF(K175="","",K175/MAX(K$6:K175)-1)</f>
        <v/>
      </c>
      <c r="N175" s="33">
        <f>IF(L175="","",L175/MAX(L$6:L175)-1)</f>
        <v/>
      </c>
      <c r="O175" s="57">
        <f>IF(H175="","",MIN(H175,0)^2)</f>
        <v/>
      </c>
      <c r="P175" s="58">
        <f>IF(A175="","",YEAR(A175))</f>
        <v/>
      </c>
      <c r="Q175" s="59">
        <f>IF(D175="","",LN(1+D175))</f>
        <v/>
      </c>
      <c r="R175" s="27" t="n"/>
    </row>
    <row r="176">
      <c r="A176" s="43" t="n"/>
      <c r="B176" s="53" t="n"/>
      <c r="C176" s="32">
        <f>IF(A176="","",SUMIFS(Transactions!$J$6:$J$505,Transactions!$B$6:$B$505,"Deposit",Transactions!$A$6:$A$505,"&gt;"&amp;A175,Transactions!$A$6:$A$505,"&lt;="&amp;A176)-SUMIFS(Transactions!$J$6:$J$505,Transactions!$B$6:$B$505,"Withdrawal",Transactions!$A$6:$A$505,"&gt;"&amp;A175,Transactions!$A$6:$A$505,"&lt;="&amp;A176))</f>
        <v/>
      </c>
      <c r="D176" s="54">
        <f>IF(OR(A176="",B176=""),"",IF(B175="","",(B176-B175-C176)/(B175+0.5*C176)))</f>
        <v/>
      </c>
      <c r="E176" s="30" t="n"/>
      <c r="F176" s="54">
        <f>IF(OR(E176="",E175=""),"",E176/E175-1)</f>
        <v/>
      </c>
      <c r="G176" s="55">
        <f>IF(A176="","",Settings!$B$8/12)</f>
        <v/>
      </c>
      <c r="H176" s="54">
        <f>IF(D176="","",D176-G176)</f>
        <v/>
      </c>
      <c r="I176" s="54">
        <f>IF(F176="","",F176-G176)</f>
        <v/>
      </c>
      <c r="J176" s="54">
        <f>IF(OR(D176="",F176=""),"",D176-F176)</f>
        <v/>
      </c>
      <c r="K176" s="56">
        <f>IF(OR(A176="",B176=""),"",IF(D176="",K175,K175*(1+D176)))</f>
        <v/>
      </c>
      <c r="L176" s="56">
        <f>IF(E176="","",IF(F176="",L175,L175*(1+F176)))</f>
        <v/>
      </c>
      <c r="M176" s="33">
        <f>IF(K176="","",K176/MAX(K$6:K176)-1)</f>
        <v/>
      </c>
      <c r="N176" s="33">
        <f>IF(L176="","",L176/MAX(L$6:L176)-1)</f>
        <v/>
      </c>
      <c r="O176" s="57">
        <f>IF(H176="","",MIN(H176,0)^2)</f>
        <v/>
      </c>
      <c r="P176" s="58">
        <f>IF(A176="","",YEAR(A176))</f>
        <v/>
      </c>
      <c r="Q176" s="59">
        <f>IF(D176="","",LN(1+D176))</f>
        <v/>
      </c>
      <c r="R176" s="27" t="n"/>
    </row>
    <row r="177">
      <c r="A177" s="43" t="n"/>
      <c r="B177" s="53" t="n"/>
      <c r="C177" s="32">
        <f>IF(A177="","",SUMIFS(Transactions!$J$6:$J$505,Transactions!$B$6:$B$505,"Deposit",Transactions!$A$6:$A$505,"&gt;"&amp;A176,Transactions!$A$6:$A$505,"&lt;="&amp;A177)-SUMIFS(Transactions!$J$6:$J$505,Transactions!$B$6:$B$505,"Withdrawal",Transactions!$A$6:$A$505,"&gt;"&amp;A176,Transactions!$A$6:$A$505,"&lt;="&amp;A177))</f>
        <v/>
      </c>
      <c r="D177" s="54">
        <f>IF(OR(A177="",B177=""),"",IF(B176="","",(B177-B176-C177)/(B176+0.5*C177)))</f>
        <v/>
      </c>
      <c r="E177" s="30" t="n"/>
      <c r="F177" s="54">
        <f>IF(OR(E177="",E176=""),"",E177/E176-1)</f>
        <v/>
      </c>
      <c r="G177" s="55">
        <f>IF(A177="","",Settings!$B$8/12)</f>
        <v/>
      </c>
      <c r="H177" s="54">
        <f>IF(D177="","",D177-G177)</f>
        <v/>
      </c>
      <c r="I177" s="54">
        <f>IF(F177="","",F177-G177)</f>
        <v/>
      </c>
      <c r="J177" s="54">
        <f>IF(OR(D177="",F177=""),"",D177-F177)</f>
        <v/>
      </c>
      <c r="K177" s="56">
        <f>IF(OR(A177="",B177=""),"",IF(D177="",K176,K176*(1+D177)))</f>
        <v/>
      </c>
      <c r="L177" s="56">
        <f>IF(E177="","",IF(F177="",L176,L176*(1+F177)))</f>
        <v/>
      </c>
      <c r="M177" s="33">
        <f>IF(K177="","",K177/MAX(K$6:K177)-1)</f>
        <v/>
      </c>
      <c r="N177" s="33">
        <f>IF(L177="","",L177/MAX(L$6:L177)-1)</f>
        <v/>
      </c>
      <c r="O177" s="57">
        <f>IF(H177="","",MIN(H177,0)^2)</f>
        <v/>
      </c>
      <c r="P177" s="58">
        <f>IF(A177="","",YEAR(A177))</f>
        <v/>
      </c>
      <c r="Q177" s="59">
        <f>IF(D177="","",LN(1+D177))</f>
        <v/>
      </c>
      <c r="R177" s="27" t="n"/>
    </row>
    <row r="178">
      <c r="A178" s="43" t="n"/>
      <c r="B178" s="53" t="n"/>
      <c r="C178" s="32">
        <f>IF(A178="","",SUMIFS(Transactions!$J$6:$J$505,Transactions!$B$6:$B$505,"Deposit",Transactions!$A$6:$A$505,"&gt;"&amp;A177,Transactions!$A$6:$A$505,"&lt;="&amp;A178)-SUMIFS(Transactions!$J$6:$J$505,Transactions!$B$6:$B$505,"Withdrawal",Transactions!$A$6:$A$505,"&gt;"&amp;A177,Transactions!$A$6:$A$505,"&lt;="&amp;A178))</f>
        <v/>
      </c>
      <c r="D178" s="54">
        <f>IF(OR(A178="",B178=""),"",IF(B177="","",(B178-B177-C178)/(B177+0.5*C178)))</f>
        <v/>
      </c>
      <c r="E178" s="30" t="n"/>
      <c r="F178" s="54">
        <f>IF(OR(E178="",E177=""),"",E178/E177-1)</f>
        <v/>
      </c>
      <c r="G178" s="55">
        <f>IF(A178="","",Settings!$B$8/12)</f>
        <v/>
      </c>
      <c r="H178" s="54">
        <f>IF(D178="","",D178-G178)</f>
        <v/>
      </c>
      <c r="I178" s="54">
        <f>IF(F178="","",F178-G178)</f>
        <v/>
      </c>
      <c r="J178" s="54">
        <f>IF(OR(D178="",F178=""),"",D178-F178)</f>
        <v/>
      </c>
      <c r="K178" s="56">
        <f>IF(OR(A178="",B178=""),"",IF(D178="",K177,K177*(1+D178)))</f>
        <v/>
      </c>
      <c r="L178" s="56">
        <f>IF(E178="","",IF(F178="",L177,L177*(1+F178)))</f>
        <v/>
      </c>
      <c r="M178" s="33">
        <f>IF(K178="","",K178/MAX(K$6:K178)-1)</f>
        <v/>
      </c>
      <c r="N178" s="33">
        <f>IF(L178="","",L178/MAX(L$6:L178)-1)</f>
        <v/>
      </c>
      <c r="O178" s="57">
        <f>IF(H178="","",MIN(H178,0)^2)</f>
        <v/>
      </c>
      <c r="P178" s="58">
        <f>IF(A178="","",YEAR(A178))</f>
        <v/>
      </c>
      <c r="Q178" s="59">
        <f>IF(D178="","",LN(1+D178))</f>
        <v/>
      </c>
      <c r="R178" s="27" t="n"/>
    </row>
    <row r="179">
      <c r="A179" s="43" t="n"/>
      <c r="B179" s="53" t="n"/>
      <c r="C179" s="32">
        <f>IF(A179="","",SUMIFS(Transactions!$J$6:$J$505,Transactions!$B$6:$B$505,"Deposit",Transactions!$A$6:$A$505,"&gt;"&amp;A178,Transactions!$A$6:$A$505,"&lt;="&amp;A179)-SUMIFS(Transactions!$J$6:$J$505,Transactions!$B$6:$B$505,"Withdrawal",Transactions!$A$6:$A$505,"&gt;"&amp;A178,Transactions!$A$6:$A$505,"&lt;="&amp;A179))</f>
        <v/>
      </c>
      <c r="D179" s="54">
        <f>IF(OR(A179="",B179=""),"",IF(B178="","",(B179-B178-C179)/(B178+0.5*C179)))</f>
        <v/>
      </c>
      <c r="E179" s="30" t="n"/>
      <c r="F179" s="54">
        <f>IF(OR(E179="",E178=""),"",E179/E178-1)</f>
        <v/>
      </c>
      <c r="G179" s="55">
        <f>IF(A179="","",Settings!$B$8/12)</f>
        <v/>
      </c>
      <c r="H179" s="54">
        <f>IF(D179="","",D179-G179)</f>
        <v/>
      </c>
      <c r="I179" s="54">
        <f>IF(F179="","",F179-G179)</f>
        <v/>
      </c>
      <c r="J179" s="54">
        <f>IF(OR(D179="",F179=""),"",D179-F179)</f>
        <v/>
      </c>
      <c r="K179" s="56">
        <f>IF(OR(A179="",B179=""),"",IF(D179="",K178,K178*(1+D179)))</f>
        <v/>
      </c>
      <c r="L179" s="56">
        <f>IF(E179="","",IF(F179="",L178,L178*(1+F179)))</f>
        <v/>
      </c>
      <c r="M179" s="33">
        <f>IF(K179="","",K179/MAX(K$6:K179)-1)</f>
        <v/>
      </c>
      <c r="N179" s="33">
        <f>IF(L179="","",L179/MAX(L$6:L179)-1)</f>
        <v/>
      </c>
      <c r="O179" s="57">
        <f>IF(H179="","",MIN(H179,0)^2)</f>
        <v/>
      </c>
      <c r="P179" s="58">
        <f>IF(A179="","",YEAR(A179))</f>
        <v/>
      </c>
      <c r="Q179" s="59">
        <f>IF(D179="","",LN(1+D179))</f>
        <v/>
      </c>
      <c r="R179" s="27" t="n"/>
    </row>
    <row r="180">
      <c r="A180" s="43" t="n"/>
      <c r="B180" s="53" t="n"/>
      <c r="C180" s="32">
        <f>IF(A180="","",SUMIFS(Transactions!$J$6:$J$505,Transactions!$B$6:$B$505,"Deposit",Transactions!$A$6:$A$505,"&gt;"&amp;A179,Transactions!$A$6:$A$505,"&lt;="&amp;A180)-SUMIFS(Transactions!$J$6:$J$505,Transactions!$B$6:$B$505,"Withdrawal",Transactions!$A$6:$A$505,"&gt;"&amp;A179,Transactions!$A$6:$A$505,"&lt;="&amp;A180))</f>
        <v/>
      </c>
      <c r="D180" s="54">
        <f>IF(OR(A180="",B180=""),"",IF(B179="","",(B180-B179-C180)/(B179+0.5*C180)))</f>
        <v/>
      </c>
      <c r="E180" s="30" t="n"/>
      <c r="F180" s="54">
        <f>IF(OR(E180="",E179=""),"",E180/E179-1)</f>
        <v/>
      </c>
      <c r="G180" s="55">
        <f>IF(A180="","",Settings!$B$8/12)</f>
        <v/>
      </c>
      <c r="H180" s="54">
        <f>IF(D180="","",D180-G180)</f>
        <v/>
      </c>
      <c r="I180" s="54">
        <f>IF(F180="","",F180-G180)</f>
        <v/>
      </c>
      <c r="J180" s="54">
        <f>IF(OR(D180="",F180=""),"",D180-F180)</f>
        <v/>
      </c>
      <c r="K180" s="56">
        <f>IF(OR(A180="",B180=""),"",IF(D180="",K179,K179*(1+D180)))</f>
        <v/>
      </c>
      <c r="L180" s="56">
        <f>IF(E180="","",IF(F180="",L179,L179*(1+F180)))</f>
        <v/>
      </c>
      <c r="M180" s="33">
        <f>IF(K180="","",K180/MAX(K$6:K180)-1)</f>
        <v/>
      </c>
      <c r="N180" s="33">
        <f>IF(L180="","",L180/MAX(L$6:L180)-1)</f>
        <v/>
      </c>
      <c r="O180" s="57">
        <f>IF(H180="","",MIN(H180,0)^2)</f>
        <v/>
      </c>
      <c r="P180" s="58">
        <f>IF(A180="","",YEAR(A180))</f>
        <v/>
      </c>
      <c r="Q180" s="59">
        <f>IF(D180="","",LN(1+D180))</f>
        <v/>
      </c>
      <c r="R180" s="27" t="n"/>
    </row>
    <row r="181">
      <c r="A181" s="43" t="n"/>
      <c r="B181" s="53" t="n"/>
      <c r="C181" s="32">
        <f>IF(A181="","",SUMIFS(Transactions!$J$6:$J$505,Transactions!$B$6:$B$505,"Deposit",Transactions!$A$6:$A$505,"&gt;"&amp;A180,Transactions!$A$6:$A$505,"&lt;="&amp;A181)-SUMIFS(Transactions!$J$6:$J$505,Transactions!$B$6:$B$505,"Withdrawal",Transactions!$A$6:$A$505,"&gt;"&amp;A180,Transactions!$A$6:$A$505,"&lt;="&amp;A181))</f>
        <v/>
      </c>
      <c r="D181" s="54">
        <f>IF(OR(A181="",B181=""),"",IF(B180="","",(B181-B180-C181)/(B180+0.5*C181)))</f>
        <v/>
      </c>
      <c r="E181" s="30" t="n"/>
      <c r="F181" s="54">
        <f>IF(OR(E181="",E180=""),"",E181/E180-1)</f>
        <v/>
      </c>
      <c r="G181" s="55">
        <f>IF(A181="","",Settings!$B$8/12)</f>
        <v/>
      </c>
      <c r="H181" s="54">
        <f>IF(D181="","",D181-G181)</f>
        <v/>
      </c>
      <c r="I181" s="54">
        <f>IF(F181="","",F181-G181)</f>
        <v/>
      </c>
      <c r="J181" s="54">
        <f>IF(OR(D181="",F181=""),"",D181-F181)</f>
        <v/>
      </c>
      <c r="K181" s="56">
        <f>IF(OR(A181="",B181=""),"",IF(D181="",K180,K180*(1+D181)))</f>
        <v/>
      </c>
      <c r="L181" s="56">
        <f>IF(E181="","",IF(F181="",L180,L180*(1+F181)))</f>
        <v/>
      </c>
      <c r="M181" s="33">
        <f>IF(K181="","",K181/MAX(K$6:K181)-1)</f>
        <v/>
      </c>
      <c r="N181" s="33">
        <f>IF(L181="","",L181/MAX(L$6:L181)-1)</f>
        <v/>
      </c>
      <c r="O181" s="57">
        <f>IF(H181="","",MIN(H181,0)^2)</f>
        <v/>
      </c>
      <c r="P181" s="58">
        <f>IF(A181="","",YEAR(A181))</f>
        <v/>
      </c>
      <c r="Q181" s="59">
        <f>IF(D181="","",LN(1+D181))</f>
        <v/>
      </c>
      <c r="R181" s="27" t="n"/>
    </row>
    <row r="182">
      <c r="A182" s="43" t="n"/>
      <c r="B182" s="53" t="n"/>
      <c r="C182" s="32">
        <f>IF(A182="","",SUMIFS(Transactions!$J$6:$J$505,Transactions!$B$6:$B$505,"Deposit",Transactions!$A$6:$A$505,"&gt;"&amp;A181,Transactions!$A$6:$A$505,"&lt;="&amp;A182)-SUMIFS(Transactions!$J$6:$J$505,Transactions!$B$6:$B$505,"Withdrawal",Transactions!$A$6:$A$505,"&gt;"&amp;A181,Transactions!$A$6:$A$505,"&lt;="&amp;A182))</f>
        <v/>
      </c>
      <c r="D182" s="54">
        <f>IF(OR(A182="",B182=""),"",IF(B181="","",(B182-B181-C182)/(B181+0.5*C182)))</f>
        <v/>
      </c>
      <c r="E182" s="30" t="n"/>
      <c r="F182" s="54">
        <f>IF(OR(E182="",E181=""),"",E182/E181-1)</f>
        <v/>
      </c>
      <c r="G182" s="55">
        <f>IF(A182="","",Settings!$B$8/12)</f>
        <v/>
      </c>
      <c r="H182" s="54">
        <f>IF(D182="","",D182-G182)</f>
        <v/>
      </c>
      <c r="I182" s="54">
        <f>IF(F182="","",F182-G182)</f>
        <v/>
      </c>
      <c r="J182" s="54">
        <f>IF(OR(D182="",F182=""),"",D182-F182)</f>
        <v/>
      </c>
      <c r="K182" s="56">
        <f>IF(OR(A182="",B182=""),"",IF(D182="",K181,K181*(1+D182)))</f>
        <v/>
      </c>
      <c r="L182" s="56">
        <f>IF(E182="","",IF(F182="",L181,L181*(1+F182)))</f>
        <v/>
      </c>
      <c r="M182" s="33">
        <f>IF(K182="","",K182/MAX(K$6:K182)-1)</f>
        <v/>
      </c>
      <c r="N182" s="33">
        <f>IF(L182="","",L182/MAX(L$6:L182)-1)</f>
        <v/>
      </c>
      <c r="O182" s="57">
        <f>IF(H182="","",MIN(H182,0)^2)</f>
        <v/>
      </c>
      <c r="P182" s="58">
        <f>IF(A182="","",YEAR(A182))</f>
        <v/>
      </c>
      <c r="Q182" s="59">
        <f>IF(D182="","",LN(1+D182))</f>
        <v/>
      </c>
      <c r="R182" s="27" t="n"/>
    </row>
    <row r="183">
      <c r="A183" s="43" t="n"/>
      <c r="B183" s="53" t="n"/>
      <c r="C183" s="32">
        <f>IF(A183="","",SUMIFS(Transactions!$J$6:$J$505,Transactions!$B$6:$B$505,"Deposit",Transactions!$A$6:$A$505,"&gt;"&amp;A182,Transactions!$A$6:$A$505,"&lt;="&amp;A183)-SUMIFS(Transactions!$J$6:$J$505,Transactions!$B$6:$B$505,"Withdrawal",Transactions!$A$6:$A$505,"&gt;"&amp;A182,Transactions!$A$6:$A$505,"&lt;="&amp;A183))</f>
        <v/>
      </c>
      <c r="D183" s="54">
        <f>IF(OR(A183="",B183=""),"",IF(B182="","",(B183-B182-C183)/(B182+0.5*C183)))</f>
        <v/>
      </c>
      <c r="E183" s="30" t="n"/>
      <c r="F183" s="54">
        <f>IF(OR(E183="",E182=""),"",E183/E182-1)</f>
        <v/>
      </c>
      <c r="G183" s="55">
        <f>IF(A183="","",Settings!$B$8/12)</f>
        <v/>
      </c>
      <c r="H183" s="54">
        <f>IF(D183="","",D183-G183)</f>
        <v/>
      </c>
      <c r="I183" s="54">
        <f>IF(F183="","",F183-G183)</f>
        <v/>
      </c>
      <c r="J183" s="54">
        <f>IF(OR(D183="",F183=""),"",D183-F183)</f>
        <v/>
      </c>
      <c r="K183" s="56">
        <f>IF(OR(A183="",B183=""),"",IF(D183="",K182,K182*(1+D183)))</f>
        <v/>
      </c>
      <c r="L183" s="56">
        <f>IF(E183="","",IF(F183="",L182,L182*(1+F183)))</f>
        <v/>
      </c>
      <c r="M183" s="33">
        <f>IF(K183="","",K183/MAX(K$6:K183)-1)</f>
        <v/>
      </c>
      <c r="N183" s="33">
        <f>IF(L183="","",L183/MAX(L$6:L183)-1)</f>
        <v/>
      </c>
      <c r="O183" s="57">
        <f>IF(H183="","",MIN(H183,0)^2)</f>
        <v/>
      </c>
      <c r="P183" s="58">
        <f>IF(A183="","",YEAR(A183))</f>
        <v/>
      </c>
      <c r="Q183" s="59">
        <f>IF(D183="","",LN(1+D183))</f>
        <v/>
      </c>
      <c r="R183" s="27" t="n"/>
    </row>
    <row r="184">
      <c r="A184" s="43" t="n"/>
      <c r="B184" s="53" t="n"/>
      <c r="C184" s="32">
        <f>IF(A184="","",SUMIFS(Transactions!$J$6:$J$505,Transactions!$B$6:$B$505,"Deposit",Transactions!$A$6:$A$505,"&gt;"&amp;A183,Transactions!$A$6:$A$505,"&lt;="&amp;A184)-SUMIFS(Transactions!$J$6:$J$505,Transactions!$B$6:$B$505,"Withdrawal",Transactions!$A$6:$A$505,"&gt;"&amp;A183,Transactions!$A$6:$A$505,"&lt;="&amp;A184))</f>
        <v/>
      </c>
      <c r="D184" s="54">
        <f>IF(OR(A184="",B184=""),"",IF(B183="","",(B184-B183-C184)/(B183+0.5*C184)))</f>
        <v/>
      </c>
      <c r="E184" s="30" t="n"/>
      <c r="F184" s="54">
        <f>IF(OR(E184="",E183=""),"",E184/E183-1)</f>
        <v/>
      </c>
      <c r="G184" s="55">
        <f>IF(A184="","",Settings!$B$8/12)</f>
        <v/>
      </c>
      <c r="H184" s="54">
        <f>IF(D184="","",D184-G184)</f>
        <v/>
      </c>
      <c r="I184" s="54">
        <f>IF(F184="","",F184-G184)</f>
        <v/>
      </c>
      <c r="J184" s="54">
        <f>IF(OR(D184="",F184=""),"",D184-F184)</f>
        <v/>
      </c>
      <c r="K184" s="56">
        <f>IF(OR(A184="",B184=""),"",IF(D184="",K183,K183*(1+D184)))</f>
        <v/>
      </c>
      <c r="L184" s="56">
        <f>IF(E184="","",IF(F184="",L183,L183*(1+F184)))</f>
        <v/>
      </c>
      <c r="M184" s="33">
        <f>IF(K184="","",K184/MAX(K$6:K184)-1)</f>
        <v/>
      </c>
      <c r="N184" s="33">
        <f>IF(L184="","",L184/MAX(L$6:L184)-1)</f>
        <v/>
      </c>
      <c r="O184" s="57">
        <f>IF(H184="","",MIN(H184,0)^2)</f>
        <v/>
      </c>
      <c r="P184" s="58">
        <f>IF(A184="","",YEAR(A184))</f>
        <v/>
      </c>
      <c r="Q184" s="59">
        <f>IF(D184="","",LN(1+D184))</f>
        <v/>
      </c>
      <c r="R184" s="27" t="n"/>
    </row>
    <row r="185">
      <c r="A185" s="43" t="n"/>
      <c r="B185" s="53" t="n"/>
      <c r="C185" s="32">
        <f>IF(A185="","",SUMIFS(Transactions!$J$6:$J$505,Transactions!$B$6:$B$505,"Deposit",Transactions!$A$6:$A$505,"&gt;"&amp;A184,Transactions!$A$6:$A$505,"&lt;="&amp;A185)-SUMIFS(Transactions!$J$6:$J$505,Transactions!$B$6:$B$505,"Withdrawal",Transactions!$A$6:$A$505,"&gt;"&amp;A184,Transactions!$A$6:$A$505,"&lt;="&amp;A185))</f>
        <v/>
      </c>
      <c r="D185" s="54">
        <f>IF(OR(A185="",B185=""),"",IF(B184="","",(B185-B184-C185)/(B184+0.5*C185)))</f>
        <v/>
      </c>
      <c r="E185" s="30" t="n"/>
      <c r="F185" s="54">
        <f>IF(OR(E185="",E184=""),"",E185/E184-1)</f>
        <v/>
      </c>
      <c r="G185" s="55">
        <f>IF(A185="","",Settings!$B$8/12)</f>
        <v/>
      </c>
      <c r="H185" s="54">
        <f>IF(D185="","",D185-G185)</f>
        <v/>
      </c>
      <c r="I185" s="54">
        <f>IF(F185="","",F185-G185)</f>
        <v/>
      </c>
      <c r="J185" s="54">
        <f>IF(OR(D185="",F185=""),"",D185-F185)</f>
        <v/>
      </c>
      <c r="K185" s="56">
        <f>IF(OR(A185="",B185=""),"",IF(D185="",K184,K184*(1+D185)))</f>
        <v/>
      </c>
      <c r="L185" s="56">
        <f>IF(E185="","",IF(F185="",L184,L184*(1+F185)))</f>
        <v/>
      </c>
      <c r="M185" s="33">
        <f>IF(K185="","",K185/MAX(K$6:K185)-1)</f>
        <v/>
      </c>
      <c r="N185" s="33">
        <f>IF(L185="","",L185/MAX(L$6:L185)-1)</f>
        <v/>
      </c>
      <c r="O185" s="57">
        <f>IF(H185="","",MIN(H185,0)^2)</f>
        <v/>
      </c>
      <c r="P185" s="58">
        <f>IF(A185="","",YEAR(A185))</f>
        <v/>
      </c>
      <c r="Q185" s="59">
        <f>IF(D185="","",LN(1+D185))</f>
        <v/>
      </c>
      <c r="R185" s="27" t="n"/>
    </row>
  </sheetData>
  <pageMargins left="0.75" right="0.75" top="1" bottom="1" header="0.5" footer="0.5"/>
</worksheet>
</file>

<file path=xl/worksheets/sheet6.xml><?xml version="1.0" encoding="utf-8"?>
<worksheet xmlns="http://schemas.openxmlformats.org/spreadsheetml/2006/main">
  <sheetPr>
    <tabColor rgb="00EB6834"/>
    <outlinePr summaryBelow="1" summaryRight="1"/>
    <pageSetUpPr/>
  </sheetPr>
  <dimension ref="A1:E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4" customWidth="1" min="3" max="3"/>
    <col width="16" customWidth="1" min="4" max="4"/>
    <col width="90" customWidth="1" min="5" max="5"/>
  </cols>
  <sheetData>
    <row r="1">
      <c r="A1" s="1" t="inlineStr">
        <is>
          <t>Risk &amp; ratios</t>
        </is>
      </c>
    </row>
    <row r="2">
      <c r="A2" s="2" t="inlineStr">
        <is>
          <t>Monthly data from History. Each figure is compared with the benchmark and explained in plain words.</t>
        </is>
      </c>
    </row>
    <row r="4" ht="32" customHeight="1">
      <c r="A4" s="16" t="inlineStr">
        <is>
          <t>Metric</t>
        </is>
      </c>
      <c r="B4" s="16" t="inlineStr">
        <is>
          <t>Portfolio</t>
        </is>
      </c>
      <c r="C4" s="16" t="inlineStr">
        <is>
          <t>Benchmark</t>
        </is>
      </c>
      <c r="D4" s="16" t="inlineStr">
        <is>
          <t>Reading</t>
        </is>
      </c>
      <c r="E4" s="16" t="inlineStr">
        <is>
          <t>What it means</t>
        </is>
      </c>
    </row>
    <row r="5" ht="28" customHeight="1">
      <c r="A5" s="37" t="inlineStr">
        <is>
          <t>Months of history</t>
        </is>
      </c>
      <c r="B5" s="58">
        <f>COUNT(History!$D$6:$D$185)</f>
        <v/>
      </c>
      <c r="C5" s="58">
        <f>COUNT(History!$F$6:$F$185)</f>
        <v/>
      </c>
      <c r="D5" s="60" t="inlineStr"/>
      <c r="E5" s="61" t="inlineStr">
        <is>
          <t>Number of monthly returns used. Below 12 months, treat every ratio as indicative only.</t>
        </is>
      </c>
    </row>
    <row r="6" ht="28" customHeight="1">
      <c r="A6" s="37" t="inlineStr">
        <is>
          <t>Total return (time-weighted)</t>
        </is>
      </c>
      <c r="B6" s="33">
        <f>IFERROR(LOOKUP(9.99E+307,History!$K$6:$K$185)/100-1,0)</f>
        <v/>
      </c>
      <c r="C6" s="33">
        <f>IFERROR(LOOKUP(9.99E+307,History!$L$6:$L$185)/100-1,0)</f>
        <v/>
      </c>
      <c r="D6" s="60" t="inlineStr"/>
      <c r="E6" s="61" t="inlineStr">
        <is>
          <t>Growth of 100 invested at inception, excluding the effect of deposits and withdrawals.</t>
        </is>
      </c>
    </row>
    <row r="7" ht="28" customHeight="1">
      <c r="A7" s="37" t="inlineStr">
        <is>
          <t>Annualised return</t>
        </is>
      </c>
      <c r="B7" s="33">
        <f>IFERROR((1+B6)^(12/B5)-1,0)</f>
        <v/>
      </c>
      <c r="C7" s="33">
        <f>IFERROR((1+C6)^(12/C5)-1,0)</f>
        <v/>
      </c>
      <c r="D7" s="60" t="inlineStr"/>
      <c r="E7" s="61" t="inlineStr">
        <is>
          <t>Compound yearly growth rate over the history.</t>
        </is>
      </c>
    </row>
    <row r="8" ht="28" customHeight="1">
      <c r="A8" s="37" t="inlineStr">
        <is>
          <t>Year-to-date return</t>
        </is>
      </c>
      <c r="B8" s="33">
        <f>IFERROR(EXP(SUMIFS(History!$Q$6:$Q$185,History!$P$6:$P$185,YEAR(LOOKUP(9.99E+307,History!$A$6:$A$185))))-1,0)</f>
        <v/>
      </c>
      <c r="C8" s="33" t="inlineStr"/>
      <c r="D8" s="60" t="inlineStr"/>
      <c r="E8" s="61" t="inlineStr">
        <is>
          <t>Time-weighted return since 1 January of the current year.</t>
        </is>
      </c>
    </row>
    <row r="9" ht="28" customHeight="1">
      <c r="A9" s="37" t="inlineStr">
        <is>
          <t>Annualised volatility</t>
        </is>
      </c>
      <c r="B9" s="33">
        <f>IFERROR(STDEV(History!$D$6:$D$185)*SQRT(12),0)</f>
        <v/>
      </c>
      <c r="C9" s="33">
        <f>IFERROR(STDEV(History!$F$6:$F$185)*SQRT(12),0)</f>
        <v/>
      </c>
      <c r="D9" s="60">
        <f>IF(B9&gt;C9,"More volatile","Less volatile")</f>
        <v/>
      </c>
      <c r="E9" s="61" t="inlineStr">
        <is>
          <t>Typical size of yearly fluctuations. Monthly standard deviation × √12.</t>
        </is>
      </c>
    </row>
    <row r="10" ht="28" customHeight="1">
      <c r="A10" s="37" t="inlineStr">
        <is>
          <t>Sharpe ratio</t>
        </is>
      </c>
      <c r="B10" s="62">
        <f>IFERROR(AVERAGE(History!$H$6:$H$185)*12/(STDEV(History!$H$6:$H$185)*SQRT(12)),0)</f>
        <v/>
      </c>
      <c r="C10" s="62">
        <f>IFERROR(AVERAGE(History!$I$6:$I$185)*12/(STDEV(History!$I$6:$I$185)*SQRT(12)),0)</f>
        <v/>
      </c>
      <c r="D10" s="60">
        <f>IF(B10&gt;=1,"Strong",IF(B10&gt;=0.5,"Good",IF(B10&gt;=0,"Weak","Negative")))</f>
        <v/>
      </c>
      <c r="E10" s="61" t="inlineStr">
        <is>
          <t>Excess return per unit of total risk. Above 0.5 is good for a diversified portfolio, above 1 is rare over long periods.</t>
        </is>
      </c>
    </row>
    <row r="11" ht="28" customHeight="1">
      <c r="A11" s="37" t="inlineStr">
        <is>
          <t>Sortino ratio</t>
        </is>
      </c>
      <c r="B11" s="62">
        <f>IFERROR(AVERAGE(History!$H$6:$H$185)*12/(SQRT(SUM(History!$O$6:$O$185)/COUNT(History!$O$6:$O$185))*SQRT(12)),0)</f>
        <v/>
      </c>
      <c r="C11" s="62" t="inlineStr"/>
      <c r="D11" s="60" t="inlineStr"/>
      <c r="E11" s="61" t="inlineStr">
        <is>
          <t>Like Sharpe, but only penalises downside volatility.</t>
        </is>
      </c>
    </row>
    <row r="12" ht="28" customHeight="1">
      <c r="A12" s="37" t="inlineStr">
        <is>
          <t>Maximum drawdown</t>
        </is>
      </c>
      <c r="B12" s="33">
        <f>IFERROR(MIN(History!$M$6:$M$185),0)</f>
        <v/>
      </c>
      <c r="C12" s="33">
        <f>IFERROR(MIN(History!$N$6:$N$185),0)</f>
        <v/>
      </c>
      <c r="D12" s="60">
        <f>IF(B12&lt;C12,"Deeper than benchmark","Shallower than benchmark")</f>
        <v/>
      </c>
      <c r="E12" s="61" t="inlineStr">
        <is>
          <t>Largest fall from a peak to a later trough (month-end data, so intra-month falls can be deeper).</t>
        </is>
      </c>
    </row>
    <row r="13" ht="28" customHeight="1">
      <c r="A13" s="37" t="inlineStr">
        <is>
          <t>Current drawdown</t>
        </is>
      </c>
      <c r="B13" s="33">
        <f>IFERROR(LOOKUP(2,1/(History!$M$6:$M$185&lt;&gt;""),History!$M$6:$M$185),0)</f>
        <v/>
      </c>
      <c r="C13" s="33" t="inlineStr"/>
      <c r="D13" s="60" t="inlineStr"/>
      <c r="E13" s="61" t="inlineStr">
        <is>
          <t>Distance from the highest value reached so far.</t>
        </is>
      </c>
    </row>
    <row r="14" ht="28" customHeight="1">
      <c r="A14" s="37" t="inlineStr">
        <is>
          <t>Calmar ratio</t>
        </is>
      </c>
      <c r="B14" s="62">
        <f>IFERROR(B7/ABS(B12),0)</f>
        <v/>
      </c>
      <c r="C14" s="62">
        <f>IFERROR(C7/ABS(C12),0)</f>
        <v/>
      </c>
      <c r="D14" s="60" t="inlineStr"/>
      <c r="E14" s="61" t="inlineStr">
        <is>
          <t>Annualised return divided by the maximum drawdown.</t>
        </is>
      </c>
    </row>
    <row r="15" ht="28" customHeight="1">
      <c r="A15" s="37" t="inlineStr">
        <is>
          <t>Historical VaR (monthly)</t>
        </is>
      </c>
      <c r="B15" s="54">
        <f>IFERROR(-PERCENTILE(History!$D$6:$D$185,1-Settings!$B$9),0)</f>
        <v/>
      </c>
      <c r="C15" s="54">
        <f>IFERROR(-PERCENTILE(History!$F$6:$F$185,1-Settings!$B$9),0)</f>
        <v/>
      </c>
      <c r="D15" s="60">
        <f>IF(B15&gt;C15,"Riskier than benchmark","Less risky than benchmark")</f>
        <v/>
      </c>
      <c r="E15" s="61" t="inlineStr">
        <is>
          <t>Monthly loss not exceeded in the chosen share of months (Settings!B9). A 95 % VaR of 5 % means one month in twenty loses more than 5 %.</t>
        </is>
      </c>
    </row>
    <row r="16" ht="28" customHeight="1">
      <c r="A16" s="37" t="inlineStr">
        <is>
          <t>Expected Shortfall (monthly)</t>
        </is>
      </c>
      <c r="B16" s="54">
        <f>IFERROR(-AVERAGEIF(History!$D$6:$D$185,"&lt;="&amp;-B15),0)</f>
        <v/>
      </c>
      <c r="C16" s="54">
        <f>IFERROR(-AVERAGEIF(History!$F$6:$F$185,"&lt;="&amp;-C15),0)</f>
        <v/>
      </c>
      <c r="D16" s="60" t="inlineStr"/>
      <c r="E16" s="61" t="inlineStr">
        <is>
          <t>Average loss in the months worse than the VaR. Captures how deep the bad months are.</t>
        </is>
      </c>
    </row>
    <row r="17" ht="28" customHeight="1">
      <c r="A17" s="37" t="inlineStr">
        <is>
          <t>Parametric VaR (monthly, normal)</t>
        </is>
      </c>
      <c r="B17" s="54">
        <f>IFERROR(-(AVERAGE(History!$D$6:$D$185)+NORMSINV(1-Settings!$B$9)*STDEV(History!$D$6:$D$185)),0)</f>
        <v/>
      </c>
      <c r="C17" s="54" t="inlineStr"/>
      <c r="D17" s="60" t="inlineStr"/>
      <c r="E17" s="61" t="inlineStr">
        <is>
          <t>VaR assuming normally distributed returns. If it is below the historical VaR, losses have fatter tails than a normal law.</t>
        </is>
      </c>
    </row>
    <row r="18" ht="28" customHeight="1">
      <c r="A18" s="37" t="inlineStr">
        <is>
          <t>VaR in euros (monthly)</t>
        </is>
      </c>
      <c r="B18" s="32">
        <f>B15*Dashboard!$B$6</f>
        <v/>
      </c>
      <c r="C18" s="32" t="inlineStr"/>
      <c r="D18" s="60" t="inlineStr"/>
      <c r="E18" s="61" t="inlineStr">
        <is>
          <t>Historical VaR applied to today's portfolio value.</t>
        </is>
      </c>
    </row>
    <row r="19" ht="28" customHeight="1">
      <c r="A19" s="37" t="inlineStr">
        <is>
          <t>ES in euros (monthly)</t>
        </is>
      </c>
      <c r="B19" s="32">
        <f>B16*Dashboard!$B$6</f>
        <v/>
      </c>
      <c r="C19" s="32" t="inlineStr"/>
      <c r="D19" s="60" t="inlineStr"/>
      <c r="E19" s="61" t="inlineStr">
        <is>
          <t>Expected Shortfall applied to today's portfolio value.</t>
        </is>
      </c>
    </row>
    <row r="20" ht="28" customHeight="1">
      <c r="A20" s="37" t="inlineStr">
        <is>
          <t>Beta vs benchmark</t>
        </is>
      </c>
      <c r="B20" s="62">
        <f>IFERROR(SLOPE(History!$D$6:$D$185,History!$F$6:$F$185),0)</f>
        <v/>
      </c>
      <c r="C20" s="62" t="inlineStr">
        <is>
          <t>1</t>
        </is>
      </c>
      <c r="D20" s="60" t="inlineStr"/>
      <c r="E20" s="61" t="inlineStr">
        <is>
          <t>Sensitivity to the benchmark: 0.7 means the portfolio moves 0.7 % when the benchmark moves 1 %.</t>
        </is>
      </c>
    </row>
    <row r="21" ht="28" customHeight="1">
      <c r="A21" s="37" t="inlineStr">
        <is>
          <t>Correlation vs benchmark</t>
        </is>
      </c>
      <c r="B21" s="62">
        <f>IFERROR(CORREL(History!$D$6:$D$185,History!$F$6:$F$185),0)</f>
        <v/>
      </c>
      <c r="C21" s="62" t="inlineStr">
        <is>
          <t>1</t>
        </is>
      </c>
      <c r="D21" s="60">
        <f>IF(B21&gt;0.9,"Very close to index",IF(B21&gt;0.6,"Moderately diversified","Well diversified"))</f>
        <v/>
      </c>
      <c r="E21" s="61" t="inlineStr">
        <is>
          <t>From −1 (opposite) to +1 (identical). Lower means more diversification.</t>
        </is>
      </c>
    </row>
    <row r="22" ht="28" customHeight="1">
      <c r="A22" s="37" t="inlineStr">
        <is>
          <t>Jensen's alpha (annual)</t>
        </is>
      </c>
      <c r="B22" s="54">
        <f>IFERROR((AVERAGE(History!$H$6:$H$185)-B20*AVERAGE(History!$I$6:$I$185))*12,0)</f>
        <v/>
      </c>
      <c r="C22" s="54" t="inlineStr"/>
      <c r="D22" s="60" t="inlineStr"/>
      <c r="E22" s="61" t="inlineStr">
        <is>
          <t>Return above what the beta alone would explain.</t>
        </is>
      </c>
    </row>
    <row r="23" ht="28" customHeight="1">
      <c r="A23" s="37" t="inlineStr">
        <is>
          <t>Tracking error</t>
        </is>
      </c>
      <c r="B23" s="33">
        <f>IFERROR(STDEV(History!$J$6:$J$185)*SQRT(12),0)</f>
        <v/>
      </c>
      <c r="C23" s="33" t="inlineStr"/>
      <c r="D23" s="60" t="inlineStr"/>
      <c r="E23" s="61" t="inlineStr">
        <is>
          <t>Volatility of the difference with the benchmark. How far the portfolio strays from it.</t>
        </is>
      </c>
    </row>
    <row r="24" ht="28" customHeight="1">
      <c r="A24" s="37" t="inlineStr">
        <is>
          <t>Information ratio</t>
        </is>
      </c>
      <c r="B24" s="62">
        <f>IFERROR(AVERAGE(History!$J$6:$J$185)*12/B23,0)</f>
        <v/>
      </c>
      <c r="C24" s="62" t="inlineStr"/>
      <c r="D24" s="60" t="inlineStr"/>
      <c r="E24" s="61" t="inlineStr">
        <is>
          <t>Active return per unit of tracking error. Above 0.5 is good.</t>
        </is>
      </c>
    </row>
    <row r="25" ht="28" customHeight="1">
      <c r="A25" s="37" t="inlineStr">
        <is>
          <t>Up-capture</t>
        </is>
      </c>
      <c r="B25" s="33">
        <f>IFERROR(AVERAGEIF(History!$F$6:$F$185,"&gt;0",History!$D$6:$D$185)/AVERAGEIF(History!$F$6:$F$185,"&gt;0"),0)</f>
        <v/>
      </c>
      <c r="C25" s="33" t="inlineStr"/>
      <c r="D25" s="60" t="inlineStr"/>
      <c r="E25" s="61" t="inlineStr">
        <is>
          <t>Share of the benchmark's rising months captured.</t>
        </is>
      </c>
    </row>
    <row r="26" ht="28" customHeight="1">
      <c r="A26" s="37" t="inlineStr">
        <is>
          <t>Down-capture</t>
        </is>
      </c>
      <c r="B26" s="33">
        <f>IFERROR(AVERAGEIF(History!$F$6:$F$185,"&lt;0",History!$D$6:$D$185)/AVERAGEIF(History!$F$6:$F$185,"&lt;0"),0)</f>
        <v/>
      </c>
      <c r="C26" s="33" t="inlineStr"/>
      <c r="D26" s="60" t="inlineStr"/>
      <c r="E26" s="61" t="inlineStr">
        <is>
          <t>Share of the benchmark's falling months suffered. Below 100 % is what diversification aims for.</t>
        </is>
      </c>
    </row>
    <row r="27" ht="28" customHeight="1">
      <c r="A27" s="37" t="inlineStr">
        <is>
          <t>Positive months</t>
        </is>
      </c>
      <c r="B27" s="33">
        <f>IFERROR(COUNTIF(History!$D$6:$D$185,"&gt;0")/COUNT(History!$D$6:$D$185),0)</f>
        <v/>
      </c>
      <c r="C27" s="33">
        <f>IFERROR(COUNTIF(History!$F$6:$F$185,"&gt;0")/COUNT(History!$F$6:$F$185),0)</f>
        <v/>
      </c>
      <c r="D27" s="60" t="inlineStr"/>
      <c r="E27" s="61" t="inlineStr">
        <is>
          <t>Share of months with a gain.</t>
        </is>
      </c>
    </row>
    <row r="28" ht="28" customHeight="1">
      <c r="A28" s="37" t="inlineStr">
        <is>
          <t>Best month</t>
        </is>
      </c>
      <c r="B28" s="54">
        <f>IFERROR(MAX(History!$D$6:$D$185),0)</f>
        <v/>
      </c>
      <c r="C28" s="54">
        <f>IFERROR(MAX(History!$F$6:$F$185),0)</f>
        <v/>
      </c>
      <c r="D28" s="60" t="inlineStr"/>
      <c r="E28" s="61" t="inlineStr"/>
    </row>
    <row r="29" ht="28" customHeight="1">
      <c r="A29" s="37" t="inlineStr">
        <is>
          <t>Worst month</t>
        </is>
      </c>
      <c r="B29" s="54">
        <f>IFERROR(MIN(History!$D$6:$D$185),0)</f>
        <v/>
      </c>
      <c r="C29" s="54">
        <f>IFERROR(MIN(History!$F$6:$F$185),0)</f>
        <v/>
      </c>
      <c r="D29" s="60" t="inlineStr"/>
      <c r="E29" s="61" t="inlineStr"/>
    </row>
    <row r="30" ht="28" customHeight="1">
      <c r="A30" s="37" t="inlineStr">
        <is>
          <t>Skewness</t>
        </is>
      </c>
      <c r="B30" s="62">
        <f>IFERROR(SKEW(History!$D$6:$D$185),0)</f>
        <v/>
      </c>
      <c r="C30" s="62">
        <f>IFERROR(SKEW(History!$F$6:$F$185),0)</f>
        <v/>
      </c>
      <c r="D30" s="60" t="inlineStr"/>
      <c r="E30" s="61" t="inlineStr">
        <is>
          <t>Negative = more large losses than large gains (typical of equities).</t>
        </is>
      </c>
    </row>
    <row r="31" ht="28" customHeight="1">
      <c r="A31" s="37" t="inlineStr">
        <is>
          <t>Excess kurtosis</t>
        </is>
      </c>
      <c r="B31" s="62">
        <f>IFERROR(KURT(History!$D$6:$D$185),0)</f>
        <v/>
      </c>
      <c r="C31" s="62">
        <f>IFERROR(KURT(History!$F$6:$F$185),0)</f>
        <v/>
      </c>
      <c r="D31" s="60" t="inlineStr"/>
      <c r="E31" s="61" t="inlineStr">
        <is>
          <t>Above 0 = fatter tails than a normal distribution.</t>
        </is>
      </c>
    </row>
    <row r="32" ht="28" customHeight="1">
      <c r="A32" s="37" t="inlineStr">
        <is>
          <t>Concentration (HHI)</t>
        </is>
      </c>
      <c r="B32" s="63">
        <f>SUMSQ(Holdings!$L$8:$L$47)+Holdings!$L$49^2</f>
        <v/>
      </c>
      <c r="C32" s="63" t="inlineStr"/>
      <c r="D32" s="60" t="inlineStr"/>
      <c r="E32" s="61" t="inlineStr">
        <is>
          <t>Sum of squared weights. 1/HHI = effective number of positions.</t>
        </is>
      </c>
    </row>
    <row r="33" ht="28" customHeight="1">
      <c r="A33" s="37" t="inlineStr">
        <is>
          <t>Effective number of positions</t>
        </is>
      </c>
      <c r="B33" s="56">
        <f>IFERROR(1/B32,0)</f>
        <v/>
      </c>
      <c r="C33" s="56" t="inlineStr"/>
      <c r="D33" s="60" t="inlineStr"/>
      <c r="E33" s="61" t="inlineStr">
        <is>
          <t>Number of equally weighted positions with the same concentration.</t>
        </is>
      </c>
    </row>
    <row r="34" ht="28" customHeight="1">
      <c r="A34" s="37" t="inlineStr">
        <is>
          <t>Top-3 weight</t>
        </is>
      </c>
      <c r="B34" s="33">
        <f>IFERROR(SUMPRODUCT(LARGE(Holdings!$L$8:$L$47,{1,2,3})),SUM(Holdings!$L$8:$L$47))</f>
        <v/>
      </c>
      <c r="C34" s="33" t="inlineStr"/>
      <c r="D34" s="60" t="inlineStr"/>
      <c r="E34" s="61" t="inlineStr">
        <is>
          <t>Weight of the three largest positions.</t>
        </is>
      </c>
    </row>
    <row r="35" ht="28" customHeight="1">
      <c r="A35" s="37" t="inlineStr">
        <is>
          <t>Cash weight</t>
        </is>
      </c>
      <c r="B35" s="33">
        <f>Holdings!$L$49</f>
        <v/>
      </c>
      <c r="C35" s="33" t="inlineStr"/>
      <c r="D35" s="60" t="inlineStr"/>
      <c r="E35" s="61" t="inlineStr">
        <is>
          <t>Share of the portfolio held in cash (money-market ETFs count as positions).</t>
        </is>
      </c>
    </row>
    <row r="36" ht="28" customHeight="1">
      <c r="A36" s="37" t="inlineStr">
        <is>
          <t>Fees paid (total)</t>
        </is>
      </c>
      <c r="B36" s="32">
        <f>SUM(Transactions!$H$6:$H$505)+SUMIFS(Transactions!$J$6:$J$505,Transactions!$B$6:$B$505,"Fee")</f>
        <v/>
      </c>
      <c r="C36" s="32" t="inlineStr"/>
      <c r="D36" s="60" t="inlineStr"/>
      <c r="E36" s="61" t="inlineStr">
        <is>
          <t>Transaction fees plus platform fees since inception.</t>
        </is>
      </c>
    </row>
    <row r="37" ht="28" customHeight="1">
      <c r="A37" s="37" t="inlineStr">
        <is>
          <t>Dividends received (total)</t>
        </is>
      </c>
      <c r="B37" s="32">
        <f>SUMIFS(Transactions!$J$6:$J$505,Transactions!$B$6:$B$505,"Dividend")</f>
        <v/>
      </c>
      <c r="C37" s="32" t="inlineStr"/>
      <c r="D37" s="60" t="inlineStr"/>
      <c r="E37" s="61" t="inlineStr">
        <is>
          <t>Cash dividends logged in Transactions.</t>
        </is>
      </c>
    </row>
  </sheetData>
  <pageMargins left="0.75" right="0.75" top="1" bottom="1" header="0.5" footer="0.5"/>
</worksheet>
</file>

<file path=xl/worksheets/sheet7.xml><?xml version="1.0" encoding="utf-8"?>
<worksheet xmlns="http://schemas.openxmlformats.org/spreadsheetml/2006/main">
  <sheetPr>
    <tabColor rgb="001BAF7A"/>
    <outlinePr summaryBelow="1" summaryRight="1"/>
    <pageSetUpPr/>
  </sheetPr>
  <dimension ref="A1:E37"/>
  <sheetViews>
    <sheetView showGridLines="0" workbookViewId="0">
      <selection activeCell="A1" sqref="A1"/>
    </sheetView>
  </sheetViews>
  <sheetFormatPr baseColWidth="8" defaultRowHeight="15"/>
  <cols>
    <col width="24" customWidth="1" min="1" max="1"/>
    <col width="14" customWidth="1" min="2" max="2"/>
    <col width="14" customWidth="1" min="3" max="3"/>
    <col width="14" customWidth="1" min="4" max="4"/>
    <col width="14" customWidth="1" min="5" max="5"/>
  </cols>
  <sheetData>
    <row r="1">
      <c r="A1" s="1" t="inlineStr">
        <is>
          <t>Allocation</t>
        </is>
      </c>
    </row>
    <row r="2">
      <c r="A2" s="2" t="inlineStr">
        <is>
          <t>Actual weights from Holdings (cash included) compared with targets.</t>
        </is>
      </c>
    </row>
    <row r="4">
      <c r="A4" s="64" t="inlineStr">
        <is>
          <t>By asset class</t>
        </is>
      </c>
    </row>
    <row r="5" ht="32" customHeight="1">
      <c r="A5" s="16" t="inlineStr">
        <is>
          <t>Group</t>
        </is>
      </c>
      <c r="B5" s="16" t="inlineStr">
        <is>
          <t>Value (EUR)</t>
        </is>
      </c>
      <c r="C5" s="16" t="inlineStr">
        <is>
          <t>Weight</t>
        </is>
      </c>
    </row>
    <row r="6">
      <c r="A6" s="36" t="inlineStr">
        <is>
          <t>Equity</t>
        </is>
      </c>
      <c r="B6" s="32">
        <f>SUMIFS(Holdings!$K$8:$K$47,Holdings!$C$8:$C$47,A6)</f>
        <v/>
      </c>
      <c r="C6" s="33">
        <f>IFERROR(B6/Holdings!$B$5,0)</f>
        <v/>
      </c>
    </row>
    <row r="7">
      <c r="A7" s="36" t="inlineStr">
        <is>
          <t>Bond</t>
        </is>
      </c>
      <c r="B7" s="32">
        <f>SUMIFS(Holdings!$K$8:$K$47,Holdings!$C$8:$C$47,A7)</f>
        <v/>
      </c>
      <c r="C7" s="33">
        <f>IFERROR(B7/Holdings!$B$5,0)</f>
        <v/>
      </c>
    </row>
    <row r="8">
      <c r="A8" s="36" t="inlineStr">
        <is>
          <t>Commodity</t>
        </is>
      </c>
      <c r="B8" s="32">
        <f>SUMIFS(Holdings!$K$8:$K$47,Holdings!$C$8:$C$47,A8)</f>
        <v/>
      </c>
      <c r="C8" s="33">
        <f>IFERROR(B8/Holdings!$B$5,0)</f>
        <v/>
      </c>
    </row>
    <row r="9">
      <c r="A9" s="36" t="inlineStr">
        <is>
          <t>Money market</t>
        </is>
      </c>
      <c r="B9" s="32">
        <f>SUMIFS(Holdings!$K$8:$K$47,Holdings!$C$8:$C$47,A9)</f>
        <v/>
      </c>
      <c r="C9" s="33">
        <f>IFERROR(B9/Holdings!$B$5,0)</f>
        <v/>
      </c>
    </row>
    <row r="10">
      <c r="A10" s="36" t="inlineStr">
        <is>
          <t>Other</t>
        </is>
      </c>
      <c r="B10" s="32">
        <f>SUMIFS(Holdings!$K$8:$K$47,Holdings!$C$8:$C$47,A10)</f>
        <v/>
      </c>
      <c r="C10" s="33">
        <f>IFERROR(B10/Holdings!$B$5,0)</f>
        <v/>
      </c>
    </row>
    <row r="11">
      <c r="A11" s="36" t="inlineStr">
        <is>
          <t>Cash</t>
        </is>
      </c>
      <c r="B11" s="32">
        <f>Holdings!$B$4</f>
        <v/>
      </c>
      <c r="C11" s="33">
        <f>IFERROR(B11/Holdings!$B$5,0)</f>
        <v/>
      </c>
    </row>
    <row r="12">
      <c r="A12" s="37" t="inlineStr">
        <is>
          <t>Total</t>
        </is>
      </c>
      <c r="B12" s="38">
        <f>SUM(B6:B11)</f>
        <v/>
      </c>
      <c r="C12" s="39">
        <f>SUM(C6:C11)</f>
        <v/>
      </c>
    </row>
    <row r="14">
      <c r="A14" s="64" t="inlineStr">
        <is>
          <t>By strategy</t>
        </is>
      </c>
    </row>
    <row r="15" ht="32" customHeight="1">
      <c r="A15" s="16" t="inlineStr">
        <is>
          <t>Group</t>
        </is>
      </c>
      <c r="B15" s="16" t="inlineStr">
        <is>
          <t>Value (EUR)</t>
        </is>
      </c>
      <c r="C15" s="16" t="inlineStr">
        <is>
          <t>Weight</t>
        </is>
      </c>
      <c r="D15" s="16" t="inlineStr">
        <is>
          <t>Target</t>
        </is>
      </c>
      <c r="E15" s="16" t="inlineStr">
        <is>
          <t>Deviation</t>
        </is>
      </c>
    </row>
    <row r="16">
      <c r="A16" s="65">
        <f>Settings!A15</f>
        <v/>
      </c>
      <c r="B16" s="32">
        <f>SUMIFS(Holdings!$K$8:$K$47,Holdings!$D$8:$D$47,A16)</f>
        <v/>
      </c>
      <c r="C16" s="33">
        <f>IFERROR(B16/Holdings!$B$5,0)</f>
        <v/>
      </c>
      <c r="D16" s="66">
        <f>Settings!B15</f>
        <v/>
      </c>
      <c r="E16" s="33">
        <f>C16-D16</f>
        <v/>
      </c>
    </row>
    <row r="17">
      <c r="A17" s="65">
        <f>Settings!A16</f>
        <v/>
      </c>
      <c r="B17" s="32">
        <f>SUMIFS(Holdings!$K$8:$K$47,Holdings!$D$8:$D$47,A17)</f>
        <v/>
      </c>
      <c r="C17" s="33">
        <f>IFERROR(B17/Holdings!$B$5,0)</f>
        <v/>
      </c>
      <c r="D17" s="66">
        <f>Settings!B16</f>
        <v/>
      </c>
      <c r="E17" s="33">
        <f>C17-D17</f>
        <v/>
      </c>
    </row>
    <row r="18">
      <c r="A18" s="65">
        <f>Settings!A17</f>
        <v/>
      </c>
      <c r="B18" s="32">
        <f>SUMIFS(Holdings!$K$8:$K$47,Holdings!$D$8:$D$47,A18)+Holdings!$B$4</f>
        <v/>
      </c>
      <c r="C18" s="33">
        <f>IFERROR(B18/Holdings!$B$5,0)</f>
        <v/>
      </c>
      <c r="D18" s="66">
        <f>Settings!B17</f>
        <v/>
      </c>
      <c r="E18" s="33">
        <f>C18-D18</f>
        <v/>
      </c>
    </row>
    <row r="19">
      <c r="A19" s="37" t="inlineStr">
        <is>
          <t>Total</t>
        </is>
      </c>
      <c r="B19" s="38">
        <f>SUM(B16:B18)</f>
        <v/>
      </c>
      <c r="C19" s="39">
        <f>SUM(C16:C18)</f>
        <v/>
      </c>
    </row>
    <row r="21">
      <c r="A21" s="64" t="inlineStr">
        <is>
          <t>By region</t>
        </is>
      </c>
    </row>
    <row r="22" ht="32" customHeight="1">
      <c r="A22" s="16" t="inlineStr">
        <is>
          <t>Group</t>
        </is>
      </c>
      <c r="B22" s="16" t="inlineStr">
        <is>
          <t>Value (EUR)</t>
        </is>
      </c>
      <c r="C22" s="16" t="inlineStr">
        <is>
          <t>Weight</t>
        </is>
      </c>
    </row>
    <row r="23">
      <c r="A23" s="36" t="inlineStr">
        <is>
          <t>Global</t>
        </is>
      </c>
      <c r="B23" s="32">
        <f>SUMIFS(Holdings!$K$8:$K$47,Holdings!$E$8:$E$47,A23)</f>
        <v/>
      </c>
      <c r="C23" s="33">
        <f>IFERROR(B23/Holdings!$B$5,0)</f>
        <v/>
      </c>
    </row>
    <row r="24">
      <c r="A24" s="36" t="inlineStr">
        <is>
          <t>North America</t>
        </is>
      </c>
      <c r="B24" s="32">
        <f>SUMIFS(Holdings!$K$8:$K$47,Holdings!$E$8:$E$47,A24)</f>
        <v/>
      </c>
      <c r="C24" s="33">
        <f>IFERROR(B24/Holdings!$B$5,0)</f>
        <v/>
      </c>
    </row>
    <row r="25">
      <c r="A25" s="36" t="inlineStr">
        <is>
          <t>Europe</t>
        </is>
      </c>
      <c r="B25" s="32">
        <f>SUMIFS(Holdings!$K$8:$K$47,Holdings!$E$8:$E$47,A25)</f>
        <v/>
      </c>
      <c r="C25" s="33">
        <f>IFERROR(B25/Holdings!$B$5,0)</f>
        <v/>
      </c>
    </row>
    <row r="26">
      <c r="A26" s="36" t="inlineStr">
        <is>
          <t>Asia-Pacific</t>
        </is>
      </c>
      <c r="B26" s="32">
        <f>SUMIFS(Holdings!$K$8:$K$47,Holdings!$E$8:$E$47,A26)</f>
        <v/>
      </c>
      <c r="C26" s="33">
        <f>IFERROR(B26/Holdings!$B$5,0)</f>
        <v/>
      </c>
    </row>
    <row r="27">
      <c r="A27" s="36" t="inlineStr">
        <is>
          <t>Emerging markets</t>
        </is>
      </c>
      <c r="B27" s="32">
        <f>SUMIFS(Holdings!$K$8:$K$47,Holdings!$E$8:$E$47,A27)</f>
        <v/>
      </c>
      <c r="C27" s="33">
        <f>IFERROR(B27/Holdings!$B$5,0)</f>
        <v/>
      </c>
    </row>
    <row r="28">
      <c r="A28" s="36" t="inlineStr">
        <is>
          <t>Other</t>
        </is>
      </c>
      <c r="B28" s="32">
        <f>SUMIFS(Holdings!$K$8:$K$47,Holdings!$E$8:$E$47,A28)</f>
        <v/>
      </c>
      <c r="C28" s="33">
        <f>IFERROR(B28/Holdings!$B$5,0)</f>
        <v/>
      </c>
    </row>
    <row r="29">
      <c r="A29" s="37" t="inlineStr">
        <is>
          <t>Total</t>
        </is>
      </c>
      <c r="B29" s="38">
        <f>SUM(B23:B28)</f>
        <v/>
      </c>
      <c r="C29" s="39">
        <f>SUM(C23:C28)</f>
        <v/>
      </c>
    </row>
    <row r="31">
      <c r="A31" s="64" t="inlineStr">
        <is>
          <t>By currency (before hedging)</t>
        </is>
      </c>
    </row>
    <row r="32" ht="32" customHeight="1">
      <c r="A32" s="16" t="inlineStr">
        <is>
          <t>Currency</t>
        </is>
      </c>
      <c r="B32" s="16" t="inlineStr">
        <is>
          <t>Value (EUR)</t>
        </is>
      </c>
      <c r="C32" s="16" t="inlineStr">
        <is>
          <t>Weight</t>
        </is>
      </c>
    </row>
    <row r="33">
      <c r="A33" s="36" t="inlineStr">
        <is>
          <t>EUR</t>
        </is>
      </c>
      <c r="B33" s="32">
        <f>SUMIFS(Holdings!$K$8:$K$47,Holdings!$F$8:$F$47,A33)+Holdings!$B$4</f>
        <v/>
      </c>
      <c r="C33" s="33">
        <f>IFERROR(B33/Holdings!$B$5,0)</f>
        <v/>
      </c>
    </row>
    <row r="34">
      <c r="A34" s="36" t="inlineStr">
        <is>
          <t>USD</t>
        </is>
      </c>
      <c r="B34" s="32">
        <f>SUMIFS(Holdings!$K$8:$K$47,Holdings!$F$8:$F$47,A34)</f>
        <v/>
      </c>
      <c r="C34" s="33">
        <f>IFERROR(B34/Holdings!$B$5,0)</f>
        <v/>
      </c>
    </row>
    <row r="35">
      <c r="A35" s="36" t="inlineStr">
        <is>
          <t>GBP</t>
        </is>
      </c>
      <c r="B35" s="32">
        <f>SUMPRODUCT((Holdings!$F$8:$F$47="GBP")+EXACT(Holdings!$F$8:$F$47,"GBp"),Holdings!$K$8:$K$47)</f>
        <v/>
      </c>
      <c r="C35" s="33">
        <f>IFERROR(B35/Holdings!$B$5,0)</f>
        <v/>
      </c>
    </row>
    <row r="36">
      <c r="A36" s="36" t="inlineStr">
        <is>
          <t>CHF</t>
        </is>
      </c>
      <c r="B36" s="32">
        <f>SUMIFS(Holdings!$K$8:$K$47,Holdings!$F$8:$F$47,A36)</f>
        <v/>
      </c>
      <c r="C36" s="33">
        <f>IFERROR(B36/Holdings!$B$5,0)</f>
        <v/>
      </c>
    </row>
    <row r="37">
      <c r="A37" s="36" t="inlineStr">
        <is>
          <t>JPY</t>
        </is>
      </c>
      <c r="B37" s="32">
        <f>SUMIFS(Holdings!$K$8:$K$47,Holdings!$F$8:$F$47,A37)</f>
        <v/>
      </c>
      <c r="C37" s="33">
        <f>IFERROR(B37/Holdings!$B$5,0)</f>
        <v/>
      </c>
    </row>
  </sheetData>
  <conditionalFormatting sqref="E16:E18">
    <cfRule type="expression" priority="1" dxfId="2">
      <formula>ABS(E16)&gt;Settings!$B$10</formula>
    </cfRule>
  </conditionalFormatting>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6250D6"/>
    <outlinePr summaryBelow="1" summaryRight="1"/>
    <pageSetUpPr/>
  </sheetPr>
  <dimension ref="A1:G300"/>
  <sheetViews>
    <sheetView showGridLines="0" workbookViewId="0">
      <selection activeCell="A1" sqref="A1"/>
    </sheetView>
  </sheetViews>
  <sheetFormatPr baseColWidth="8" defaultRowHeight="15"/>
  <cols>
    <col width="12" customWidth="1" min="1" max="1"/>
    <col width="14" customWidth="1" min="2" max="2"/>
    <col width="40" customWidth="1" min="3" max="3"/>
    <col width="50" customWidth="1" min="4" max="4"/>
    <col width="40" customWidth="1" min="5" max="5"/>
    <col width="12" customWidth="1" min="6" max="6"/>
    <col width="30" customWidth="1" min="7" max="7"/>
  </cols>
  <sheetData>
    <row r="1">
      <c r="A1" s="1" t="inlineStr">
        <is>
          <t>Decision journal</t>
        </is>
      </c>
    </row>
    <row r="2">
      <c r="A2" s="2" t="inlineStr">
        <is>
          <t>One line per decision or review: what was done, why, and what would prove it wrong.</t>
        </is>
      </c>
    </row>
    <row r="4" ht="32" customHeight="1">
      <c r="A4" s="16" t="inlineStr">
        <is>
          <t>Date</t>
        </is>
      </c>
      <c r="B4" s="16" t="inlineStr">
        <is>
          <t>Type</t>
        </is>
      </c>
      <c r="C4" s="16" t="inlineStr">
        <is>
          <t>Decision / observation</t>
        </is>
      </c>
      <c r="D4" s="16" t="inlineStr">
        <is>
          <t>Reasoning</t>
        </is>
      </c>
      <c r="E4" s="16" t="inlineStr">
        <is>
          <t>What would change my mind</t>
        </is>
      </c>
      <c r="F4" s="16" t="inlineStr">
        <is>
          <t>Review date</t>
        </is>
      </c>
      <c r="G4" s="16" t="inlineStr">
        <is>
          <t>Outcome</t>
        </is>
      </c>
    </row>
    <row r="5" ht="42" customHeight="1">
      <c r="A5" s="67" t="n">
        <v>45691</v>
      </c>
      <c r="B5" s="68" t="inlineStr">
        <is>
          <t>New position</t>
        </is>
      </c>
      <c r="C5" s="68" t="inlineStr">
        <is>
          <t>Initial allocation: 56 % value, 24 % trend ETF, 20 % cash.</t>
        </is>
      </c>
      <c r="D5" s="68" t="inlineStr">
        <is>
          <t>IPS: 80/20 risky/cash; trend sleeve diversifies the value sleeve (backtest correlation −0.21 for the futures version).</t>
        </is>
      </c>
      <c r="E5" s="68" t="inlineStr">
        <is>
          <t>Sharpe of the combined portfolio below the value sleeve alone over 3 years.</t>
        </is>
      </c>
      <c r="F5" s="67" t="n">
        <v>46056</v>
      </c>
      <c r="G5" s="68" t="inlineStr">
        <is>
          <t>Example — replace</t>
        </is>
      </c>
    </row>
    <row r="6" ht="42" customHeight="1">
      <c r="A6" s="67" t="n">
        <v>46083</v>
      </c>
      <c r="B6" s="68" t="inlineStr">
        <is>
          <t>Rebalance</t>
        </is>
      </c>
      <c r="C6" s="68" t="inlineStr">
        <is>
          <t>Sold 3 units of the Treasury ETF.</t>
        </is>
      </c>
      <c r="D6" s="68" t="inlineStr">
        <is>
          <t>Trend signal on US 10-year turned negative on two of three horizons.</t>
        </is>
      </c>
      <c r="E6" s="68" t="inlineStr">
        <is>
          <t>Signal back to +1 on all horizons.</t>
        </is>
      </c>
      <c r="F6" s="67" t="n">
        <v>46203</v>
      </c>
      <c r="G6" s="68" t="inlineStr">
        <is>
          <t>Example — replace</t>
        </is>
      </c>
    </row>
    <row r="7">
      <c r="A7" s="69" t="n"/>
      <c r="B7" s="70" t="n"/>
      <c r="C7" s="70" t="n"/>
      <c r="D7" s="70" t="n"/>
      <c r="E7" s="70" t="n"/>
      <c r="F7" s="69" t="n"/>
      <c r="G7" s="70" t="n"/>
    </row>
    <row r="8">
      <c r="A8" s="69" t="n"/>
      <c r="B8" s="70" t="n"/>
      <c r="C8" s="70" t="n"/>
      <c r="D8" s="70" t="n"/>
      <c r="E8" s="70" t="n"/>
      <c r="F8" s="69" t="n"/>
      <c r="G8" s="70" t="n"/>
    </row>
    <row r="9">
      <c r="A9" s="69" t="n"/>
      <c r="B9" s="70" t="n"/>
      <c r="C9" s="70" t="n"/>
      <c r="D9" s="70" t="n"/>
      <c r="E9" s="70" t="n"/>
      <c r="F9" s="69" t="n"/>
      <c r="G9" s="70" t="n"/>
    </row>
    <row r="10">
      <c r="A10" s="69" t="n"/>
      <c r="B10" s="70" t="n"/>
      <c r="C10" s="70" t="n"/>
      <c r="D10" s="70" t="n"/>
      <c r="E10" s="70" t="n"/>
      <c r="F10" s="69" t="n"/>
      <c r="G10" s="70" t="n"/>
    </row>
    <row r="11">
      <c r="A11" s="69" t="n"/>
      <c r="B11" s="70" t="n"/>
      <c r="C11" s="70" t="n"/>
      <c r="D11" s="70" t="n"/>
      <c r="E11" s="70" t="n"/>
      <c r="F11" s="69" t="n"/>
      <c r="G11" s="70" t="n"/>
    </row>
    <row r="12">
      <c r="A12" s="69" t="n"/>
      <c r="B12" s="70" t="n"/>
      <c r="C12" s="70" t="n"/>
      <c r="D12" s="70" t="n"/>
      <c r="E12" s="70" t="n"/>
      <c r="F12" s="69" t="n"/>
      <c r="G12" s="70" t="n"/>
    </row>
    <row r="13">
      <c r="A13" s="69" t="n"/>
      <c r="B13" s="70" t="n"/>
      <c r="C13" s="70" t="n"/>
      <c r="D13" s="70" t="n"/>
      <c r="E13" s="70" t="n"/>
      <c r="F13" s="69" t="n"/>
      <c r="G13" s="70" t="n"/>
    </row>
    <row r="14">
      <c r="A14" s="69" t="n"/>
      <c r="B14" s="70" t="n"/>
      <c r="C14" s="70" t="n"/>
      <c r="D14" s="70" t="n"/>
      <c r="E14" s="70" t="n"/>
      <c r="F14" s="69" t="n"/>
      <c r="G14" s="70" t="n"/>
    </row>
    <row r="15">
      <c r="A15" s="69" t="n"/>
      <c r="B15" s="70" t="n"/>
      <c r="C15" s="70" t="n"/>
      <c r="D15" s="70" t="n"/>
      <c r="E15" s="70" t="n"/>
      <c r="F15" s="69" t="n"/>
      <c r="G15" s="70" t="n"/>
    </row>
    <row r="16">
      <c r="A16" s="69" t="n"/>
      <c r="B16" s="70" t="n"/>
      <c r="C16" s="70" t="n"/>
      <c r="D16" s="70" t="n"/>
      <c r="E16" s="70" t="n"/>
      <c r="F16" s="69" t="n"/>
      <c r="G16" s="70" t="n"/>
    </row>
    <row r="17">
      <c r="A17" s="69" t="n"/>
      <c r="B17" s="70" t="n"/>
      <c r="C17" s="70" t="n"/>
      <c r="D17" s="70" t="n"/>
      <c r="E17" s="70" t="n"/>
      <c r="F17" s="69" t="n"/>
      <c r="G17" s="70" t="n"/>
    </row>
    <row r="18">
      <c r="A18" s="69" t="n"/>
      <c r="B18" s="70" t="n"/>
      <c r="C18" s="70" t="n"/>
      <c r="D18" s="70" t="n"/>
      <c r="E18" s="70" t="n"/>
      <c r="F18" s="69" t="n"/>
      <c r="G18" s="70" t="n"/>
    </row>
    <row r="19">
      <c r="A19" s="69" t="n"/>
      <c r="B19" s="70" t="n"/>
      <c r="C19" s="70" t="n"/>
      <c r="D19" s="70" t="n"/>
      <c r="E19" s="70" t="n"/>
      <c r="F19" s="69" t="n"/>
      <c r="G19" s="70" t="n"/>
    </row>
    <row r="20">
      <c r="A20" s="69" t="n"/>
      <c r="B20" s="70" t="n"/>
      <c r="C20" s="70" t="n"/>
      <c r="D20" s="70" t="n"/>
      <c r="E20" s="70" t="n"/>
      <c r="F20" s="69" t="n"/>
      <c r="G20" s="70" t="n"/>
    </row>
    <row r="21">
      <c r="A21" s="69" t="n"/>
      <c r="B21" s="70" t="n"/>
      <c r="C21" s="70" t="n"/>
      <c r="D21" s="70" t="n"/>
      <c r="E21" s="70" t="n"/>
      <c r="F21" s="69" t="n"/>
      <c r="G21" s="70" t="n"/>
    </row>
    <row r="22">
      <c r="A22" s="69" t="n"/>
      <c r="B22" s="70" t="n"/>
      <c r="C22" s="70" t="n"/>
      <c r="D22" s="70" t="n"/>
      <c r="E22" s="70" t="n"/>
      <c r="F22" s="69" t="n"/>
      <c r="G22" s="70" t="n"/>
    </row>
    <row r="23">
      <c r="A23" s="69" t="n"/>
      <c r="B23" s="70" t="n"/>
      <c r="C23" s="70" t="n"/>
      <c r="D23" s="70" t="n"/>
      <c r="E23" s="70" t="n"/>
      <c r="F23" s="69" t="n"/>
      <c r="G23" s="70" t="n"/>
    </row>
    <row r="24">
      <c r="A24" s="69" t="n"/>
      <c r="B24" s="70" t="n"/>
      <c r="C24" s="70" t="n"/>
      <c r="D24" s="70" t="n"/>
      <c r="E24" s="70" t="n"/>
      <c r="F24" s="69" t="n"/>
      <c r="G24" s="70" t="n"/>
    </row>
    <row r="25">
      <c r="A25" s="69" t="n"/>
      <c r="B25" s="70" t="n"/>
      <c r="C25" s="70" t="n"/>
      <c r="D25" s="70" t="n"/>
      <c r="E25" s="70" t="n"/>
      <c r="F25" s="69" t="n"/>
      <c r="G25" s="70" t="n"/>
    </row>
    <row r="26">
      <c r="A26" s="69" t="n"/>
      <c r="B26" s="70" t="n"/>
      <c r="C26" s="70" t="n"/>
      <c r="D26" s="70" t="n"/>
      <c r="E26" s="70" t="n"/>
      <c r="F26" s="69" t="n"/>
      <c r="G26" s="70" t="n"/>
    </row>
    <row r="27">
      <c r="A27" s="69" t="n"/>
      <c r="B27" s="70" t="n"/>
      <c r="C27" s="70" t="n"/>
      <c r="D27" s="70" t="n"/>
      <c r="E27" s="70" t="n"/>
      <c r="F27" s="69" t="n"/>
      <c r="G27" s="70" t="n"/>
    </row>
    <row r="28">
      <c r="A28" s="69" t="n"/>
      <c r="B28" s="70" t="n"/>
      <c r="C28" s="70" t="n"/>
      <c r="D28" s="70" t="n"/>
      <c r="E28" s="70" t="n"/>
      <c r="F28" s="69" t="n"/>
      <c r="G28" s="70" t="n"/>
    </row>
    <row r="29">
      <c r="A29" s="69" t="n"/>
      <c r="B29" s="70" t="n"/>
      <c r="C29" s="70" t="n"/>
      <c r="D29" s="70" t="n"/>
      <c r="E29" s="70" t="n"/>
      <c r="F29" s="69" t="n"/>
      <c r="G29" s="70" t="n"/>
    </row>
    <row r="30">
      <c r="A30" s="69" t="n"/>
      <c r="B30" s="70" t="n"/>
      <c r="C30" s="70" t="n"/>
      <c r="D30" s="70" t="n"/>
      <c r="E30" s="70" t="n"/>
      <c r="F30" s="69" t="n"/>
      <c r="G30" s="70" t="n"/>
    </row>
    <row r="31">
      <c r="A31" s="69" t="n"/>
      <c r="B31" s="70" t="n"/>
      <c r="C31" s="70" t="n"/>
      <c r="D31" s="70" t="n"/>
      <c r="E31" s="70" t="n"/>
      <c r="F31" s="69" t="n"/>
      <c r="G31" s="70" t="n"/>
    </row>
    <row r="32">
      <c r="A32" s="69" t="n"/>
      <c r="B32" s="70" t="n"/>
      <c r="C32" s="70" t="n"/>
      <c r="D32" s="70" t="n"/>
      <c r="E32" s="70" t="n"/>
      <c r="F32" s="69" t="n"/>
      <c r="G32" s="70" t="n"/>
    </row>
    <row r="33">
      <c r="A33" s="69" t="n"/>
      <c r="B33" s="70" t="n"/>
      <c r="C33" s="70" t="n"/>
      <c r="D33" s="70" t="n"/>
      <c r="E33" s="70" t="n"/>
      <c r="F33" s="69" t="n"/>
      <c r="G33" s="70" t="n"/>
    </row>
    <row r="34">
      <c r="A34" s="69" t="n"/>
      <c r="B34" s="70" t="n"/>
      <c r="C34" s="70" t="n"/>
      <c r="D34" s="70" t="n"/>
      <c r="E34" s="70" t="n"/>
      <c r="F34" s="69" t="n"/>
      <c r="G34" s="70" t="n"/>
    </row>
    <row r="35">
      <c r="A35" s="69" t="n"/>
      <c r="B35" s="70" t="n"/>
      <c r="C35" s="70" t="n"/>
      <c r="D35" s="70" t="n"/>
      <c r="E35" s="70" t="n"/>
      <c r="F35" s="69" t="n"/>
      <c r="G35" s="70" t="n"/>
    </row>
    <row r="36">
      <c r="A36" s="69" t="n"/>
      <c r="B36" s="70" t="n"/>
      <c r="C36" s="70" t="n"/>
      <c r="D36" s="70" t="n"/>
      <c r="E36" s="70" t="n"/>
      <c r="F36" s="69" t="n"/>
      <c r="G36" s="70" t="n"/>
    </row>
    <row r="37">
      <c r="A37" s="69" t="n"/>
      <c r="B37" s="70" t="n"/>
      <c r="C37" s="70" t="n"/>
      <c r="D37" s="70" t="n"/>
      <c r="E37" s="70" t="n"/>
      <c r="F37" s="69" t="n"/>
      <c r="G37" s="70" t="n"/>
    </row>
    <row r="38">
      <c r="A38" s="69" t="n"/>
      <c r="B38" s="70" t="n"/>
      <c r="C38" s="70" t="n"/>
      <c r="D38" s="70" t="n"/>
      <c r="E38" s="70" t="n"/>
      <c r="F38" s="69" t="n"/>
      <c r="G38" s="70" t="n"/>
    </row>
    <row r="39">
      <c r="A39" s="69" t="n"/>
      <c r="B39" s="70" t="n"/>
      <c r="C39" s="70" t="n"/>
      <c r="D39" s="70" t="n"/>
      <c r="E39" s="70" t="n"/>
      <c r="F39" s="69" t="n"/>
      <c r="G39" s="70" t="n"/>
    </row>
    <row r="40">
      <c r="A40" s="69" t="n"/>
      <c r="B40" s="70" t="n"/>
      <c r="C40" s="70" t="n"/>
      <c r="D40" s="70" t="n"/>
      <c r="E40" s="70" t="n"/>
      <c r="F40" s="69" t="n"/>
      <c r="G40" s="70" t="n"/>
    </row>
    <row r="41">
      <c r="A41" s="69" t="n"/>
      <c r="B41" s="70" t="n"/>
      <c r="C41" s="70" t="n"/>
      <c r="D41" s="70" t="n"/>
      <c r="E41" s="70" t="n"/>
      <c r="F41" s="69" t="n"/>
      <c r="G41" s="70" t="n"/>
    </row>
    <row r="42">
      <c r="A42" s="69" t="n"/>
      <c r="B42" s="70" t="n"/>
      <c r="C42" s="70" t="n"/>
      <c r="D42" s="70" t="n"/>
      <c r="E42" s="70" t="n"/>
      <c r="F42" s="69" t="n"/>
      <c r="G42" s="70" t="n"/>
    </row>
    <row r="43">
      <c r="A43" s="69" t="n"/>
      <c r="B43" s="70" t="n"/>
      <c r="C43" s="70" t="n"/>
      <c r="D43" s="70" t="n"/>
      <c r="E43" s="70" t="n"/>
      <c r="F43" s="69" t="n"/>
      <c r="G43" s="70" t="n"/>
    </row>
    <row r="44">
      <c r="A44" s="69" t="n"/>
      <c r="B44" s="70" t="n"/>
      <c r="C44" s="70" t="n"/>
      <c r="D44" s="70" t="n"/>
      <c r="E44" s="70" t="n"/>
      <c r="F44" s="69" t="n"/>
      <c r="G44" s="70" t="n"/>
    </row>
    <row r="45">
      <c r="A45" s="69" t="n"/>
      <c r="B45" s="70" t="n"/>
      <c r="C45" s="70" t="n"/>
      <c r="D45" s="70" t="n"/>
      <c r="E45" s="70" t="n"/>
      <c r="F45" s="69" t="n"/>
      <c r="G45" s="70" t="n"/>
    </row>
    <row r="46">
      <c r="A46" s="69" t="n"/>
      <c r="B46" s="70" t="n"/>
      <c r="C46" s="70" t="n"/>
      <c r="D46" s="70" t="n"/>
      <c r="E46" s="70" t="n"/>
      <c r="F46" s="69" t="n"/>
      <c r="G46" s="70" t="n"/>
    </row>
    <row r="47">
      <c r="A47" s="69" t="n"/>
      <c r="B47" s="70" t="n"/>
      <c r="C47" s="70" t="n"/>
      <c r="D47" s="70" t="n"/>
      <c r="E47" s="70" t="n"/>
      <c r="F47" s="69" t="n"/>
      <c r="G47" s="70" t="n"/>
    </row>
    <row r="48">
      <c r="A48" s="69" t="n"/>
      <c r="B48" s="70" t="n"/>
      <c r="C48" s="70" t="n"/>
      <c r="D48" s="70" t="n"/>
      <c r="E48" s="70" t="n"/>
      <c r="F48" s="69" t="n"/>
      <c r="G48" s="70" t="n"/>
    </row>
    <row r="49">
      <c r="A49" s="69" t="n"/>
      <c r="B49" s="70" t="n"/>
      <c r="C49" s="70" t="n"/>
      <c r="D49" s="70" t="n"/>
      <c r="E49" s="70" t="n"/>
      <c r="F49" s="69" t="n"/>
      <c r="G49" s="70" t="n"/>
    </row>
    <row r="50">
      <c r="A50" s="69" t="n"/>
      <c r="B50" s="70" t="n"/>
      <c r="C50" s="70" t="n"/>
      <c r="D50" s="70" t="n"/>
      <c r="E50" s="70" t="n"/>
      <c r="F50" s="69" t="n"/>
      <c r="G50" s="70" t="n"/>
    </row>
    <row r="51">
      <c r="A51" s="69" t="n"/>
      <c r="B51" s="70" t="n"/>
      <c r="C51" s="70" t="n"/>
      <c r="D51" s="70" t="n"/>
      <c r="E51" s="70" t="n"/>
      <c r="F51" s="69" t="n"/>
      <c r="G51" s="70" t="n"/>
    </row>
    <row r="52">
      <c r="A52" s="69" t="n"/>
      <c r="B52" s="70" t="n"/>
      <c r="C52" s="70" t="n"/>
      <c r="D52" s="70" t="n"/>
      <c r="E52" s="70" t="n"/>
      <c r="F52" s="69" t="n"/>
      <c r="G52" s="70" t="n"/>
    </row>
    <row r="53">
      <c r="A53" s="69" t="n"/>
      <c r="B53" s="70" t="n"/>
      <c r="C53" s="70" t="n"/>
      <c r="D53" s="70" t="n"/>
      <c r="E53" s="70" t="n"/>
      <c r="F53" s="69" t="n"/>
      <c r="G53" s="70" t="n"/>
    </row>
    <row r="54">
      <c r="A54" s="69" t="n"/>
      <c r="B54" s="70" t="n"/>
      <c r="C54" s="70" t="n"/>
      <c r="D54" s="70" t="n"/>
      <c r="E54" s="70" t="n"/>
      <c r="F54" s="69" t="n"/>
      <c r="G54" s="70" t="n"/>
    </row>
    <row r="55">
      <c r="A55" s="69" t="n"/>
      <c r="B55" s="70" t="n"/>
      <c r="C55" s="70" t="n"/>
      <c r="D55" s="70" t="n"/>
      <c r="E55" s="70" t="n"/>
      <c r="F55" s="69" t="n"/>
      <c r="G55" s="70" t="n"/>
    </row>
    <row r="56">
      <c r="A56" s="69" t="n"/>
      <c r="B56" s="70" t="n"/>
      <c r="C56" s="70" t="n"/>
      <c r="D56" s="70" t="n"/>
      <c r="E56" s="70" t="n"/>
      <c r="F56" s="69" t="n"/>
      <c r="G56" s="70" t="n"/>
    </row>
    <row r="57">
      <c r="A57" s="69" t="n"/>
      <c r="B57" s="70" t="n"/>
      <c r="C57" s="70" t="n"/>
      <c r="D57" s="70" t="n"/>
      <c r="E57" s="70" t="n"/>
      <c r="F57" s="69" t="n"/>
      <c r="G57" s="70" t="n"/>
    </row>
    <row r="58">
      <c r="A58" s="69" t="n"/>
      <c r="B58" s="70" t="n"/>
      <c r="C58" s="70" t="n"/>
      <c r="D58" s="70" t="n"/>
      <c r="E58" s="70" t="n"/>
      <c r="F58" s="69" t="n"/>
      <c r="G58" s="70" t="n"/>
    </row>
    <row r="59">
      <c r="A59" s="69" t="n"/>
      <c r="B59" s="70" t="n"/>
      <c r="C59" s="70" t="n"/>
      <c r="D59" s="70" t="n"/>
      <c r="E59" s="70" t="n"/>
      <c r="F59" s="69" t="n"/>
      <c r="G59" s="70" t="n"/>
    </row>
    <row r="60">
      <c r="A60" s="69" t="n"/>
      <c r="B60" s="70" t="n"/>
      <c r="C60" s="70" t="n"/>
      <c r="D60" s="70" t="n"/>
      <c r="E60" s="70" t="n"/>
      <c r="F60" s="69" t="n"/>
      <c r="G60" s="70" t="n"/>
    </row>
    <row r="61">
      <c r="A61" s="69" t="n"/>
      <c r="B61" s="70" t="n"/>
      <c r="C61" s="70" t="n"/>
      <c r="D61" s="70" t="n"/>
      <c r="E61" s="70" t="n"/>
      <c r="F61" s="69" t="n"/>
      <c r="G61" s="70" t="n"/>
    </row>
    <row r="62">
      <c r="A62" s="69" t="n"/>
      <c r="B62" s="70" t="n"/>
      <c r="C62" s="70" t="n"/>
      <c r="D62" s="70" t="n"/>
      <c r="E62" s="70" t="n"/>
      <c r="F62" s="69" t="n"/>
      <c r="G62" s="70" t="n"/>
    </row>
    <row r="63">
      <c r="A63" s="69" t="n"/>
      <c r="B63" s="70" t="n"/>
      <c r="C63" s="70" t="n"/>
      <c r="D63" s="70" t="n"/>
      <c r="E63" s="70" t="n"/>
      <c r="F63" s="69" t="n"/>
      <c r="G63" s="70" t="n"/>
    </row>
    <row r="64">
      <c r="A64" s="69" t="n"/>
      <c r="B64" s="70" t="n"/>
      <c r="C64" s="70" t="n"/>
      <c r="D64" s="70" t="n"/>
      <c r="E64" s="70" t="n"/>
      <c r="F64" s="69" t="n"/>
      <c r="G64" s="70" t="n"/>
    </row>
    <row r="65">
      <c r="A65" s="69" t="n"/>
      <c r="B65" s="70" t="n"/>
      <c r="C65" s="70" t="n"/>
      <c r="D65" s="70" t="n"/>
      <c r="E65" s="70" t="n"/>
      <c r="F65" s="69" t="n"/>
      <c r="G65" s="70" t="n"/>
    </row>
    <row r="66">
      <c r="A66" s="69" t="n"/>
      <c r="B66" s="70" t="n"/>
      <c r="C66" s="70" t="n"/>
      <c r="D66" s="70" t="n"/>
      <c r="E66" s="70" t="n"/>
      <c r="F66" s="69" t="n"/>
      <c r="G66" s="70" t="n"/>
    </row>
    <row r="67">
      <c r="A67" s="69" t="n"/>
      <c r="B67" s="70" t="n"/>
      <c r="C67" s="70" t="n"/>
      <c r="D67" s="70" t="n"/>
      <c r="E67" s="70" t="n"/>
      <c r="F67" s="69" t="n"/>
      <c r="G67" s="70" t="n"/>
    </row>
    <row r="68">
      <c r="A68" s="69" t="n"/>
      <c r="B68" s="70" t="n"/>
      <c r="C68" s="70" t="n"/>
      <c r="D68" s="70" t="n"/>
      <c r="E68" s="70" t="n"/>
      <c r="F68" s="69" t="n"/>
      <c r="G68" s="70" t="n"/>
    </row>
    <row r="69">
      <c r="A69" s="69" t="n"/>
      <c r="B69" s="70" t="n"/>
      <c r="C69" s="70" t="n"/>
      <c r="D69" s="70" t="n"/>
      <c r="E69" s="70" t="n"/>
      <c r="F69" s="69" t="n"/>
      <c r="G69" s="70" t="n"/>
    </row>
    <row r="70">
      <c r="A70" s="69" t="n"/>
      <c r="B70" s="70" t="n"/>
      <c r="C70" s="70" t="n"/>
      <c r="D70" s="70" t="n"/>
      <c r="E70" s="70" t="n"/>
      <c r="F70" s="69" t="n"/>
      <c r="G70" s="70" t="n"/>
    </row>
    <row r="71">
      <c r="A71" s="69" t="n"/>
      <c r="B71" s="70" t="n"/>
      <c r="C71" s="70" t="n"/>
      <c r="D71" s="70" t="n"/>
      <c r="E71" s="70" t="n"/>
      <c r="F71" s="69" t="n"/>
      <c r="G71" s="70" t="n"/>
    </row>
    <row r="72">
      <c r="A72" s="69" t="n"/>
      <c r="B72" s="70" t="n"/>
      <c r="C72" s="70" t="n"/>
      <c r="D72" s="70" t="n"/>
      <c r="E72" s="70" t="n"/>
      <c r="F72" s="69" t="n"/>
      <c r="G72" s="70" t="n"/>
    </row>
    <row r="73">
      <c r="A73" s="69" t="n"/>
      <c r="B73" s="70" t="n"/>
      <c r="C73" s="70" t="n"/>
      <c r="D73" s="70" t="n"/>
      <c r="E73" s="70" t="n"/>
      <c r="F73" s="69" t="n"/>
      <c r="G73" s="70" t="n"/>
    </row>
    <row r="74">
      <c r="A74" s="69" t="n"/>
      <c r="B74" s="70" t="n"/>
      <c r="C74" s="70" t="n"/>
      <c r="D74" s="70" t="n"/>
      <c r="E74" s="70" t="n"/>
      <c r="F74" s="69" t="n"/>
      <c r="G74" s="70" t="n"/>
    </row>
    <row r="75">
      <c r="A75" s="69" t="n"/>
      <c r="B75" s="70" t="n"/>
      <c r="C75" s="70" t="n"/>
      <c r="D75" s="70" t="n"/>
      <c r="E75" s="70" t="n"/>
      <c r="F75" s="69" t="n"/>
      <c r="G75" s="70" t="n"/>
    </row>
    <row r="76">
      <c r="A76" s="69" t="n"/>
      <c r="B76" s="70" t="n"/>
      <c r="C76" s="70" t="n"/>
      <c r="D76" s="70" t="n"/>
      <c r="E76" s="70" t="n"/>
      <c r="F76" s="69" t="n"/>
      <c r="G76" s="70" t="n"/>
    </row>
    <row r="77">
      <c r="A77" s="69" t="n"/>
      <c r="B77" s="70" t="n"/>
      <c r="C77" s="70" t="n"/>
      <c r="D77" s="70" t="n"/>
      <c r="E77" s="70" t="n"/>
      <c r="F77" s="69" t="n"/>
      <c r="G77" s="70" t="n"/>
    </row>
    <row r="78">
      <c r="A78" s="69" t="n"/>
      <c r="B78" s="70" t="n"/>
      <c r="C78" s="70" t="n"/>
      <c r="D78" s="70" t="n"/>
      <c r="E78" s="70" t="n"/>
      <c r="F78" s="69" t="n"/>
      <c r="G78" s="70" t="n"/>
    </row>
    <row r="79">
      <c r="A79" s="69" t="n"/>
      <c r="B79" s="70" t="n"/>
      <c r="C79" s="70" t="n"/>
      <c r="D79" s="70" t="n"/>
      <c r="E79" s="70" t="n"/>
      <c r="F79" s="69" t="n"/>
      <c r="G79" s="70" t="n"/>
    </row>
    <row r="80">
      <c r="A80" s="69" t="n"/>
      <c r="B80" s="70" t="n"/>
      <c r="C80" s="70" t="n"/>
      <c r="D80" s="70" t="n"/>
      <c r="E80" s="70" t="n"/>
      <c r="F80" s="69" t="n"/>
      <c r="G80" s="70" t="n"/>
    </row>
    <row r="81">
      <c r="A81" s="69" t="n"/>
      <c r="B81" s="70" t="n"/>
      <c r="C81" s="70" t="n"/>
      <c r="D81" s="70" t="n"/>
      <c r="E81" s="70" t="n"/>
      <c r="F81" s="69" t="n"/>
      <c r="G81" s="70" t="n"/>
    </row>
    <row r="82">
      <c r="A82" s="69" t="n"/>
      <c r="B82" s="70" t="n"/>
      <c r="C82" s="70" t="n"/>
      <c r="D82" s="70" t="n"/>
      <c r="E82" s="70" t="n"/>
      <c r="F82" s="69" t="n"/>
      <c r="G82" s="70" t="n"/>
    </row>
    <row r="83">
      <c r="A83" s="69" t="n"/>
      <c r="B83" s="70" t="n"/>
      <c r="C83" s="70" t="n"/>
      <c r="D83" s="70" t="n"/>
      <c r="E83" s="70" t="n"/>
      <c r="F83" s="69" t="n"/>
      <c r="G83" s="70" t="n"/>
    </row>
    <row r="84">
      <c r="A84" s="69" t="n"/>
      <c r="B84" s="70" t="n"/>
      <c r="C84" s="70" t="n"/>
      <c r="D84" s="70" t="n"/>
      <c r="E84" s="70" t="n"/>
      <c r="F84" s="69" t="n"/>
      <c r="G84" s="70" t="n"/>
    </row>
    <row r="85">
      <c r="A85" s="69" t="n"/>
      <c r="B85" s="70" t="n"/>
      <c r="C85" s="70" t="n"/>
      <c r="D85" s="70" t="n"/>
      <c r="E85" s="70" t="n"/>
      <c r="F85" s="69" t="n"/>
      <c r="G85" s="70" t="n"/>
    </row>
    <row r="86">
      <c r="A86" s="69" t="n"/>
      <c r="B86" s="70" t="n"/>
      <c r="C86" s="70" t="n"/>
      <c r="D86" s="70" t="n"/>
      <c r="E86" s="70" t="n"/>
      <c r="F86" s="69" t="n"/>
      <c r="G86" s="70" t="n"/>
    </row>
    <row r="87">
      <c r="A87" s="69" t="n"/>
      <c r="B87" s="70" t="n"/>
      <c r="C87" s="70" t="n"/>
      <c r="D87" s="70" t="n"/>
      <c r="E87" s="70" t="n"/>
      <c r="F87" s="69" t="n"/>
      <c r="G87" s="70" t="n"/>
    </row>
    <row r="88">
      <c r="A88" s="69" t="n"/>
      <c r="B88" s="70" t="n"/>
      <c r="C88" s="70" t="n"/>
      <c r="D88" s="70" t="n"/>
      <c r="E88" s="70" t="n"/>
      <c r="F88" s="69" t="n"/>
      <c r="G88" s="70" t="n"/>
    </row>
    <row r="89">
      <c r="A89" s="69" t="n"/>
      <c r="B89" s="70" t="n"/>
      <c r="C89" s="70" t="n"/>
      <c r="D89" s="70" t="n"/>
      <c r="E89" s="70" t="n"/>
      <c r="F89" s="69" t="n"/>
      <c r="G89" s="70" t="n"/>
    </row>
    <row r="90">
      <c r="A90" s="69" t="n"/>
      <c r="B90" s="70" t="n"/>
      <c r="C90" s="70" t="n"/>
      <c r="D90" s="70" t="n"/>
      <c r="E90" s="70" t="n"/>
      <c r="F90" s="69" t="n"/>
      <c r="G90" s="70" t="n"/>
    </row>
    <row r="91">
      <c r="A91" s="69" t="n"/>
      <c r="B91" s="70" t="n"/>
      <c r="C91" s="70" t="n"/>
      <c r="D91" s="70" t="n"/>
      <c r="E91" s="70" t="n"/>
      <c r="F91" s="69" t="n"/>
      <c r="G91" s="70" t="n"/>
    </row>
    <row r="92">
      <c r="A92" s="69" t="n"/>
      <c r="B92" s="70" t="n"/>
      <c r="C92" s="70" t="n"/>
      <c r="D92" s="70" t="n"/>
      <c r="E92" s="70" t="n"/>
      <c r="F92" s="69" t="n"/>
      <c r="G92" s="70" t="n"/>
    </row>
    <row r="93">
      <c r="A93" s="69" t="n"/>
      <c r="B93" s="70" t="n"/>
      <c r="C93" s="70" t="n"/>
      <c r="D93" s="70" t="n"/>
      <c r="E93" s="70" t="n"/>
      <c r="F93" s="69" t="n"/>
      <c r="G93" s="70" t="n"/>
    </row>
    <row r="94">
      <c r="A94" s="69" t="n"/>
      <c r="B94" s="70" t="n"/>
      <c r="C94" s="70" t="n"/>
      <c r="D94" s="70" t="n"/>
      <c r="E94" s="70" t="n"/>
      <c r="F94" s="69" t="n"/>
      <c r="G94" s="70" t="n"/>
    </row>
    <row r="95">
      <c r="A95" s="69" t="n"/>
      <c r="B95" s="70" t="n"/>
      <c r="C95" s="70" t="n"/>
      <c r="D95" s="70" t="n"/>
      <c r="E95" s="70" t="n"/>
      <c r="F95" s="69" t="n"/>
      <c r="G95" s="70" t="n"/>
    </row>
    <row r="96">
      <c r="A96" s="69" t="n"/>
      <c r="B96" s="70" t="n"/>
      <c r="C96" s="70" t="n"/>
      <c r="D96" s="70" t="n"/>
      <c r="E96" s="70" t="n"/>
      <c r="F96" s="69" t="n"/>
      <c r="G96" s="70" t="n"/>
    </row>
    <row r="97">
      <c r="A97" s="69" t="n"/>
      <c r="B97" s="70" t="n"/>
      <c r="C97" s="70" t="n"/>
      <c r="D97" s="70" t="n"/>
      <c r="E97" s="70" t="n"/>
      <c r="F97" s="69" t="n"/>
      <c r="G97" s="70" t="n"/>
    </row>
    <row r="98">
      <c r="A98" s="69" t="n"/>
      <c r="B98" s="70" t="n"/>
      <c r="C98" s="70" t="n"/>
      <c r="D98" s="70" t="n"/>
      <c r="E98" s="70" t="n"/>
      <c r="F98" s="69" t="n"/>
      <c r="G98" s="70" t="n"/>
    </row>
    <row r="99">
      <c r="A99" s="69" t="n"/>
      <c r="B99" s="70" t="n"/>
      <c r="C99" s="70" t="n"/>
      <c r="D99" s="70" t="n"/>
      <c r="E99" s="70" t="n"/>
      <c r="F99" s="69" t="n"/>
      <c r="G99" s="70" t="n"/>
    </row>
    <row r="100">
      <c r="A100" s="69" t="n"/>
      <c r="B100" s="70" t="n"/>
      <c r="C100" s="70" t="n"/>
      <c r="D100" s="70" t="n"/>
      <c r="E100" s="70" t="n"/>
      <c r="F100" s="69" t="n"/>
      <c r="G100" s="70" t="n"/>
    </row>
    <row r="101">
      <c r="A101" s="69" t="n"/>
      <c r="B101" s="70" t="n"/>
      <c r="C101" s="70" t="n"/>
      <c r="D101" s="70" t="n"/>
      <c r="E101" s="70" t="n"/>
      <c r="F101" s="69" t="n"/>
      <c r="G101" s="70" t="n"/>
    </row>
    <row r="102">
      <c r="A102" s="69" t="n"/>
      <c r="B102" s="70" t="n"/>
      <c r="C102" s="70" t="n"/>
      <c r="D102" s="70" t="n"/>
      <c r="E102" s="70" t="n"/>
      <c r="F102" s="69" t="n"/>
      <c r="G102" s="70" t="n"/>
    </row>
    <row r="103">
      <c r="A103" s="69" t="n"/>
      <c r="B103" s="70" t="n"/>
      <c r="C103" s="70" t="n"/>
      <c r="D103" s="70" t="n"/>
      <c r="E103" s="70" t="n"/>
      <c r="F103" s="69" t="n"/>
      <c r="G103" s="70" t="n"/>
    </row>
    <row r="104">
      <c r="A104" s="69" t="n"/>
      <c r="B104" s="70" t="n"/>
      <c r="C104" s="70" t="n"/>
      <c r="D104" s="70" t="n"/>
      <c r="E104" s="70" t="n"/>
      <c r="F104" s="69" t="n"/>
      <c r="G104" s="70" t="n"/>
    </row>
    <row r="105">
      <c r="A105" s="69" t="n"/>
      <c r="B105" s="70" t="n"/>
      <c r="C105" s="70" t="n"/>
      <c r="D105" s="70" t="n"/>
      <c r="E105" s="70" t="n"/>
      <c r="F105" s="69" t="n"/>
      <c r="G105" s="70" t="n"/>
    </row>
    <row r="106">
      <c r="A106" s="69" t="n"/>
      <c r="B106" s="70" t="n"/>
      <c r="C106" s="70" t="n"/>
      <c r="D106" s="70" t="n"/>
      <c r="E106" s="70" t="n"/>
      <c r="F106" s="69" t="n"/>
      <c r="G106" s="70" t="n"/>
    </row>
    <row r="107">
      <c r="A107" s="69" t="n"/>
      <c r="B107" s="70" t="n"/>
      <c r="C107" s="70" t="n"/>
      <c r="D107" s="70" t="n"/>
      <c r="E107" s="70" t="n"/>
      <c r="F107" s="69" t="n"/>
      <c r="G107" s="70" t="n"/>
    </row>
    <row r="108">
      <c r="A108" s="69" t="n"/>
      <c r="B108" s="70" t="n"/>
      <c r="C108" s="70" t="n"/>
      <c r="D108" s="70" t="n"/>
      <c r="E108" s="70" t="n"/>
      <c r="F108" s="69" t="n"/>
      <c r="G108" s="70" t="n"/>
    </row>
    <row r="109">
      <c r="A109" s="69" t="n"/>
      <c r="B109" s="70" t="n"/>
      <c r="C109" s="70" t="n"/>
      <c r="D109" s="70" t="n"/>
      <c r="E109" s="70" t="n"/>
      <c r="F109" s="69" t="n"/>
      <c r="G109" s="70" t="n"/>
    </row>
    <row r="110">
      <c r="A110" s="69" t="n"/>
      <c r="B110" s="70" t="n"/>
      <c r="C110" s="70" t="n"/>
      <c r="D110" s="70" t="n"/>
      <c r="E110" s="70" t="n"/>
      <c r="F110" s="69" t="n"/>
      <c r="G110" s="70" t="n"/>
    </row>
    <row r="111">
      <c r="A111" s="69" t="n"/>
      <c r="B111" s="70" t="n"/>
      <c r="C111" s="70" t="n"/>
      <c r="D111" s="70" t="n"/>
      <c r="E111" s="70" t="n"/>
      <c r="F111" s="69" t="n"/>
      <c r="G111" s="70" t="n"/>
    </row>
    <row r="112">
      <c r="A112" s="69" t="n"/>
      <c r="B112" s="70" t="n"/>
      <c r="C112" s="70" t="n"/>
      <c r="D112" s="70" t="n"/>
      <c r="E112" s="70" t="n"/>
      <c r="F112" s="69" t="n"/>
      <c r="G112" s="70" t="n"/>
    </row>
    <row r="113">
      <c r="A113" s="69" t="n"/>
      <c r="B113" s="70" t="n"/>
      <c r="C113" s="70" t="n"/>
      <c r="D113" s="70" t="n"/>
      <c r="E113" s="70" t="n"/>
      <c r="F113" s="69" t="n"/>
      <c r="G113" s="70" t="n"/>
    </row>
    <row r="114">
      <c r="A114" s="69" t="n"/>
      <c r="B114" s="70" t="n"/>
      <c r="C114" s="70" t="n"/>
      <c r="D114" s="70" t="n"/>
      <c r="E114" s="70" t="n"/>
      <c r="F114" s="69" t="n"/>
      <c r="G114" s="70" t="n"/>
    </row>
    <row r="115">
      <c r="A115" s="69" t="n"/>
      <c r="B115" s="70" t="n"/>
      <c r="C115" s="70" t="n"/>
      <c r="D115" s="70" t="n"/>
      <c r="E115" s="70" t="n"/>
      <c r="F115" s="69" t="n"/>
      <c r="G115" s="70" t="n"/>
    </row>
    <row r="116">
      <c r="A116" s="69" t="n"/>
      <c r="B116" s="70" t="n"/>
      <c r="C116" s="70" t="n"/>
      <c r="D116" s="70" t="n"/>
      <c r="E116" s="70" t="n"/>
      <c r="F116" s="69" t="n"/>
      <c r="G116" s="70" t="n"/>
    </row>
    <row r="117">
      <c r="A117" s="69" t="n"/>
      <c r="B117" s="70" t="n"/>
      <c r="C117" s="70" t="n"/>
      <c r="D117" s="70" t="n"/>
      <c r="E117" s="70" t="n"/>
      <c r="F117" s="69" t="n"/>
      <c r="G117" s="70" t="n"/>
    </row>
    <row r="118">
      <c r="A118" s="69" t="n"/>
      <c r="B118" s="70" t="n"/>
      <c r="C118" s="70" t="n"/>
      <c r="D118" s="70" t="n"/>
      <c r="E118" s="70" t="n"/>
      <c r="F118" s="69" t="n"/>
      <c r="G118" s="70" t="n"/>
    </row>
    <row r="119">
      <c r="A119" s="69" t="n"/>
      <c r="B119" s="70" t="n"/>
      <c r="C119" s="70" t="n"/>
      <c r="D119" s="70" t="n"/>
      <c r="E119" s="70" t="n"/>
      <c r="F119" s="69" t="n"/>
      <c r="G119" s="70" t="n"/>
    </row>
    <row r="120">
      <c r="A120" s="69" t="n"/>
      <c r="B120" s="70" t="n"/>
      <c r="C120" s="70" t="n"/>
      <c r="D120" s="70" t="n"/>
      <c r="E120" s="70" t="n"/>
      <c r="F120" s="69" t="n"/>
      <c r="G120" s="70" t="n"/>
    </row>
    <row r="121">
      <c r="A121" s="69" t="n"/>
      <c r="B121" s="70" t="n"/>
      <c r="C121" s="70" t="n"/>
      <c r="D121" s="70" t="n"/>
      <c r="E121" s="70" t="n"/>
      <c r="F121" s="69" t="n"/>
      <c r="G121" s="70" t="n"/>
    </row>
    <row r="122">
      <c r="A122" s="69" t="n"/>
      <c r="B122" s="70" t="n"/>
      <c r="C122" s="70" t="n"/>
      <c r="D122" s="70" t="n"/>
      <c r="E122" s="70" t="n"/>
      <c r="F122" s="69" t="n"/>
      <c r="G122" s="70" t="n"/>
    </row>
    <row r="123">
      <c r="A123" s="69" t="n"/>
      <c r="B123" s="70" t="n"/>
      <c r="C123" s="70" t="n"/>
      <c r="D123" s="70" t="n"/>
      <c r="E123" s="70" t="n"/>
      <c r="F123" s="69" t="n"/>
      <c r="G123" s="70" t="n"/>
    </row>
    <row r="124">
      <c r="A124" s="69" t="n"/>
      <c r="B124" s="70" t="n"/>
      <c r="C124" s="70" t="n"/>
      <c r="D124" s="70" t="n"/>
      <c r="E124" s="70" t="n"/>
      <c r="F124" s="69" t="n"/>
      <c r="G124" s="70" t="n"/>
    </row>
    <row r="125">
      <c r="A125" s="69" t="n"/>
      <c r="B125" s="70" t="n"/>
      <c r="C125" s="70" t="n"/>
      <c r="D125" s="70" t="n"/>
      <c r="E125" s="70" t="n"/>
      <c r="F125" s="69" t="n"/>
      <c r="G125" s="70" t="n"/>
    </row>
    <row r="126">
      <c r="A126" s="69" t="n"/>
      <c r="B126" s="70" t="n"/>
      <c r="C126" s="70" t="n"/>
      <c r="D126" s="70" t="n"/>
      <c r="E126" s="70" t="n"/>
      <c r="F126" s="69" t="n"/>
      <c r="G126" s="70" t="n"/>
    </row>
    <row r="127">
      <c r="A127" s="69" t="n"/>
      <c r="B127" s="70" t="n"/>
      <c r="C127" s="70" t="n"/>
      <c r="D127" s="70" t="n"/>
      <c r="E127" s="70" t="n"/>
      <c r="F127" s="69" t="n"/>
      <c r="G127" s="70" t="n"/>
    </row>
    <row r="128">
      <c r="A128" s="69" t="n"/>
      <c r="B128" s="70" t="n"/>
      <c r="C128" s="70" t="n"/>
      <c r="D128" s="70" t="n"/>
      <c r="E128" s="70" t="n"/>
      <c r="F128" s="69" t="n"/>
      <c r="G128" s="70" t="n"/>
    </row>
    <row r="129">
      <c r="A129" s="69" t="n"/>
      <c r="B129" s="70" t="n"/>
      <c r="C129" s="70" t="n"/>
      <c r="D129" s="70" t="n"/>
      <c r="E129" s="70" t="n"/>
      <c r="F129" s="69" t="n"/>
      <c r="G129" s="70" t="n"/>
    </row>
    <row r="130">
      <c r="A130" s="69" t="n"/>
      <c r="B130" s="70" t="n"/>
      <c r="C130" s="70" t="n"/>
      <c r="D130" s="70" t="n"/>
      <c r="E130" s="70" t="n"/>
      <c r="F130" s="69" t="n"/>
      <c r="G130" s="70" t="n"/>
    </row>
    <row r="131">
      <c r="A131" s="69" t="n"/>
      <c r="B131" s="70" t="n"/>
      <c r="C131" s="70" t="n"/>
      <c r="D131" s="70" t="n"/>
      <c r="E131" s="70" t="n"/>
      <c r="F131" s="69" t="n"/>
      <c r="G131" s="70" t="n"/>
    </row>
    <row r="132">
      <c r="A132" s="69" t="n"/>
      <c r="B132" s="70" t="n"/>
      <c r="C132" s="70" t="n"/>
      <c r="D132" s="70" t="n"/>
      <c r="E132" s="70" t="n"/>
      <c r="F132" s="69" t="n"/>
      <c r="G132" s="70" t="n"/>
    </row>
    <row r="133">
      <c r="A133" s="69" t="n"/>
      <c r="B133" s="70" t="n"/>
      <c r="C133" s="70" t="n"/>
      <c r="D133" s="70" t="n"/>
      <c r="E133" s="70" t="n"/>
      <c r="F133" s="69" t="n"/>
      <c r="G133" s="70" t="n"/>
    </row>
    <row r="134">
      <c r="A134" s="69" t="n"/>
      <c r="B134" s="70" t="n"/>
      <c r="C134" s="70" t="n"/>
      <c r="D134" s="70" t="n"/>
      <c r="E134" s="70" t="n"/>
      <c r="F134" s="69" t="n"/>
      <c r="G134" s="70" t="n"/>
    </row>
    <row r="135">
      <c r="A135" s="69" t="n"/>
      <c r="B135" s="70" t="n"/>
      <c r="C135" s="70" t="n"/>
      <c r="D135" s="70" t="n"/>
      <c r="E135" s="70" t="n"/>
      <c r="F135" s="69" t="n"/>
      <c r="G135" s="70" t="n"/>
    </row>
    <row r="136">
      <c r="A136" s="69" t="n"/>
      <c r="B136" s="70" t="n"/>
      <c r="C136" s="70" t="n"/>
      <c r="D136" s="70" t="n"/>
      <c r="E136" s="70" t="n"/>
      <c r="F136" s="69" t="n"/>
      <c r="G136" s="70" t="n"/>
    </row>
    <row r="137">
      <c r="A137" s="69" t="n"/>
      <c r="B137" s="70" t="n"/>
      <c r="C137" s="70" t="n"/>
      <c r="D137" s="70" t="n"/>
      <c r="E137" s="70" t="n"/>
      <c r="F137" s="69" t="n"/>
      <c r="G137" s="70" t="n"/>
    </row>
    <row r="138">
      <c r="A138" s="69" t="n"/>
      <c r="B138" s="70" t="n"/>
      <c r="C138" s="70" t="n"/>
      <c r="D138" s="70" t="n"/>
      <c r="E138" s="70" t="n"/>
      <c r="F138" s="69" t="n"/>
      <c r="G138" s="70" t="n"/>
    </row>
    <row r="139">
      <c r="A139" s="69" t="n"/>
      <c r="B139" s="70" t="n"/>
      <c r="C139" s="70" t="n"/>
      <c r="D139" s="70" t="n"/>
      <c r="E139" s="70" t="n"/>
      <c r="F139" s="69" t="n"/>
      <c r="G139" s="70" t="n"/>
    </row>
    <row r="140">
      <c r="A140" s="69" t="n"/>
      <c r="B140" s="70" t="n"/>
      <c r="C140" s="70" t="n"/>
      <c r="D140" s="70" t="n"/>
      <c r="E140" s="70" t="n"/>
      <c r="F140" s="69" t="n"/>
      <c r="G140" s="70" t="n"/>
    </row>
    <row r="141">
      <c r="A141" s="69" t="n"/>
      <c r="B141" s="70" t="n"/>
      <c r="C141" s="70" t="n"/>
      <c r="D141" s="70" t="n"/>
      <c r="E141" s="70" t="n"/>
      <c r="F141" s="69" t="n"/>
      <c r="G141" s="70" t="n"/>
    </row>
    <row r="142">
      <c r="A142" s="69" t="n"/>
      <c r="B142" s="70" t="n"/>
      <c r="C142" s="70" t="n"/>
      <c r="D142" s="70" t="n"/>
      <c r="E142" s="70" t="n"/>
      <c r="F142" s="69" t="n"/>
      <c r="G142" s="70" t="n"/>
    </row>
    <row r="143">
      <c r="A143" s="69" t="n"/>
      <c r="B143" s="70" t="n"/>
      <c r="C143" s="70" t="n"/>
      <c r="D143" s="70" t="n"/>
      <c r="E143" s="70" t="n"/>
      <c r="F143" s="69" t="n"/>
      <c r="G143" s="70" t="n"/>
    </row>
    <row r="144">
      <c r="A144" s="69" t="n"/>
      <c r="B144" s="70" t="n"/>
      <c r="C144" s="70" t="n"/>
      <c r="D144" s="70" t="n"/>
      <c r="E144" s="70" t="n"/>
      <c r="F144" s="69" t="n"/>
      <c r="G144" s="70" t="n"/>
    </row>
    <row r="145">
      <c r="A145" s="69" t="n"/>
      <c r="B145" s="70" t="n"/>
      <c r="C145" s="70" t="n"/>
      <c r="D145" s="70" t="n"/>
      <c r="E145" s="70" t="n"/>
      <c r="F145" s="69" t="n"/>
      <c r="G145" s="70" t="n"/>
    </row>
    <row r="146">
      <c r="A146" s="69" t="n"/>
      <c r="B146" s="70" t="n"/>
      <c r="C146" s="70" t="n"/>
      <c r="D146" s="70" t="n"/>
      <c r="E146" s="70" t="n"/>
      <c r="F146" s="69" t="n"/>
      <c r="G146" s="70" t="n"/>
    </row>
    <row r="147">
      <c r="A147" s="69" t="n"/>
      <c r="B147" s="70" t="n"/>
      <c r="C147" s="70" t="n"/>
      <c r="D147" s="70" t="n"/>
      <c r="E147" s="70" t="n"/>
      <c r="F147" s="69" t="n"/>
      <c r="G147" s="70" t="n"/>
    </row>
    <row r="148">
      <c r="A148" s="69" t="n"/>
      <c r="B148" s="70" t="n"/>
      <c r="C148" s="70" t="n"/>
      <c r="D148" s="70" t="n"/>
      <c r="E148" s="70" t="n"/>
      <c r="F148" s="69" t="n"/>
      <c r="G148" s="70" t="n"/>
    </row>
    <row r="149">
      <c r="A149" s="69" t="n"/>
      <c r="B149" s="70" t="n"/>
      <c r="C149" s="70" t="n"/>
      <c r="D149" s="70" t="n"/>
      <c r="E149" s="70" t="n"/>
      <c r="F149" s="69" t="n"/>
      <c r="G149" s="70" t="n"/>
    </row>
    <row r="150">
      <c r="A150" s="69" t="n"/>
      <c r="B150" s="70" t="n"/>
      <c r="C150" s="70" t="n"/>
      <c r="D150" s="70" t="n"/>
      <c r="E150" s="70" t="n"/>
      <c r="F150" s="69" t="n"/>
      <c r="G150" s="70" t="n"/>
    </row>
    <row r="151">
      <c r="A151" s="69" t="n"/>
      <c r="B151" s="70" t="n"/>
      <c r="C151" s="70" t="n"/>
      <c r="D151" s="70" t="n"/>
      <c r="E151" s="70" t="n"/>
      <c r="F151" s="69" t="n"/>
      <c r="G151" s="70" t="n"/>
    </row>
    <row r="152">
      <c r="A152" s="69" t="n"/>
      <c r="B152" s="70" t="n"/>
      <c r="C152" s="70" t="n"/>
      <c r="D152" s="70" t="n"/>
      <c r="E152" s="70" t="n"/>
      <c r="F152" s="69" t="n"/>
      <c r="G152" s="70" t="n"/>
    </row>
    <row r="153">
      <c r="A153" s="69" t="n"/>
      <c r="B153" s="70" t="n"/>
      <c r="C153" s="70" t="n"/>
      <c r="D153" s="70" t="n"/>
      <c r="E153" s="70" t="n"/>
      <c r="F153" s="69" t="n"/>
      <c r="G153" s="70" t="n"/>
    </row>
    <row r="154">
      <c r="A154" s="69" t="n"/>
      <c r="B154" s="70" t="n"/>
      <c r="C154" s="70" t="n"/>
      <c r="D154" s="70" t="n"/>
      <c r="E154" s="70" t="n"/>
      <c r="F154" s="69" t="n"/>
      <c r="G154" s="70" t="n"/>
    </row>
    <row r="155">
      <c r="A155" s="69" t="n"/>
      <c r="B155" s="70" t="n"/>
      <c r="C155" s="70" t="n"/>
      <c r="D155" s="70" t="n"/>
      <c r="E155" s="70" t="n"/>
      <c r="F155" s="69" t="n"/>
      <c r="G155" s="70" t="n"/>
    </row>
    <row r="156">
      <c r="A156" s="69" t="n"/>
      <c r="B156" s="70" t="n"/>
      <c r="C156" s="70" t="n"/>
      <c r="D156" s="70" t="n"/>
      <c r="E156" s="70" t="n"/>
      <c r="F156" s="69" t="n"/>
      <c r="G156" s="70" t="n"/>
    </row>
    <row r="157">
      <c r="A157" s="69" t="n"/>
      <c r="B157" s="70" t="n"/>
      <c r="C157" s="70" t="n"/>
      <c r="D157" s="70" t="n"/>
      <c r="E157" s="70" t="n"/>
      <c r="F157" s="69" t="n"/>
      <c r="G157" s="70" t="n"/>
    </row>
    <row r="158">
      <c r="A158" s="69" t="n"/>
      <c r="B158" s="70" t="n"/>
      <c r="C158" s="70" t="n"/>
      <c r="D158" s="70" t="n"/>
      <c r="E158" s="70" t="n"/>
      <c r="F158" s="69" t="n"/>
      <c r="G158" s="70" t="n"/>
    </row>
    <row r="159">
      <c r="A159" s="69" t="n"/>
      <c r="B159" s="70" t="n"/>
      <c r="C159" s="70" t="n"/>
      <c r="D159" s="70" t="n"/>
      <c r="E159" s="70" t="n"/>
      <c r="F159" s="69" t="n"/>
      <c r="G159" s="70" t="n"/>
    </row>
    <row r="160">
      <c r="A160" s="69" t="n"/>
      <c r="B160" s="70" t="n"/>
      <c r="C160" s="70" t="n"/>
      <c r="D160" s="70" t="n"/>
      <c r="E160" s="70" t="n"/>
      <c r="F160" s="69" t="n"/>
      <c r="G160" s="70" t="n"/>
    </row>
    <row r="161">
      <c r="A161" s="69" t="n"/>
      <c r="B161" s="70" t="n"/>
      <c r="C161" s="70" t="n"/>
      <c r="D161" s="70" t="n"/>
      <c r="E161" s="70" t="n"/>
      <c r="F161" s="69" t="n"/>
      <c r="G161" s="70" t="n"/>
    </row>
    <row r="162">
      <c r="A162" s="69" t="n"/>
      <c r="B162" s="70" t="n"/>
      <c r="C162" s="70" t="n"/>
      <c r="D162" s="70" t="n"/>
      <c r="E162" s="70" t="n"/>
      <c r="F162" s="69" t="n"/>
      <c r="G162" s="70" t="n"/>
    </row>
    <row r="163">
      <c r="A163" s="69" t="n"/>
      <c r="B163" s="70" t="n"/>
      <c r="C163" s="70" t="n"/>
      <c r="D163" s="70" t="n"/>
      <c r="E163" s="70" t="n"/>
      <c r="F163" s="69" t="n"/>
      <c r="G163" s="70" t="n"/>
    </row>
    <row r="164">
      <c r="A164" s="69" t="n"/>
      <c r="B164" s="70" t="n"/>
      <c r="C164" s="70" t="n"/>
      <c r="D164" s="70" t="n"/>
      <c r="E164" s="70" t="n"/>
      <c r="F164" s="69" t="n"/>
      <c r="G164" s="70" t="n"/>
    </row>
    <row r="165">
      <c r="A165" s="69" t="n"/>
      <c r="B165" s="70" t="n"/>
      <c r="C165" s="70" t="n"/>
      <c r="D165" s="70" t="n"/>
      <c r="E165" s="70" t="n"/>
      <c r="F165" s="69" t="n"/>
      <c r="G165" s="70" t="n"/>
    </row>
    <row r="166">
      <c r="A166" s="69" t="n"/>
      <c r="B166" s="70" t="n"/>
      <c r="C166" s="70" t="n"/>
      <c r="D166" s="70" t="n"/>
      <c r="E166" s="70" t="n"/>
      <c r="F166" s="69" t="n"/>
      <c r="G166" s="70" t="n"/>
    </row>
    <row r="167">
      <c r="A167" s="69" t="n"/>
      <c r="B167" s="70" t="n"/>
      <c r="C167" s="70" t="n"/>
      <c r="D167" s="70" t="n"/>
      <c r="E167" s="70" t="n"/>
      <c r="F167" s="69" t="n"/>
      <c r="G167" s="70" t="n"/>
    </row>
    <row r="168">
      <c r="A168" s="69" t="n"/>
      <c r="B168" s="70" t="n"/>
      <c r="C168" s="70" t="n"/>
      <c r="D168" s="70" t="n"/>
      <c r="E168" s="70" t="n"/>
      <c r="F168" s="69" t="n"/>
      <c r="G168" s="70" t="n"/>
    </row>
    <row r="169">
      <c r="A169" s="69" t="n"/>
      <c r="B169" s="70" t="n"/>
      <c r="C169" s="70" t="n"/>
      <c r="D169" s="70" t="n"/>
      <c r="E169" s="70" t="n"/>
      <c r="F169" s="69" t="n"/>
      <c r="G169" s="70" t="n"/>
    </row>
    <row r="170">
      <c r="A170" s="69" t="n"/>
      <c r="B170" s="70" t="n"/>
      <c r="C170" s="70" t="n"/>
      <c r="D170" s="70" t="n"/>
      <c r="E170" s="70" t="n"/>
      <c r="F170" s="69" t="n"/>
      <c r="G170" s="70" t="n"/>
    </row>
    <row r="171">
      <c r="A171" s="69" t="n"/>
      <c r="B171" s="70" t="n"/>
      <c r="C171" s="70" t="n"/>
      <c r="D171" s="70" t="n"/>
      <c r="E171" s="70" t="n"/>
      <c r="F171" s="69" t="n"/>
      <c r="G171" s="70" t="n"/>
    </row>
    <row r="172">
      <c r="A172" s="69" t="n"/>
      <c r="B172" s="70" t="n"/>
      <c r="C172" s="70" t="n"/>
      <c r="D172" s="70" t="n"/>
      <c r="E172" s="70" t="n"/>
      <c r="F172" s="69" t="n"/>
      <c r="G172" s="70" t="n"/>
    </row>
    <row r="173">
      <c r="A173" s="69" t="n"/>
      <c r="B173" s="70" t="n"/>
      <c r="C173" s="70" t="n"/>
      <c r="D173" s="70" t="n"/>
      <c r="E173" s="70" t="n"/>
      <c r="F173" s="69" t="n"/>
      <c r="G173" s="70" t="n"/>
    </row>
    <row r="174">
      <c r="A174" s="69" t="n"/>
      <c r="B174" s="70" t="n"/>
      <c r="C174" s="70" t="n"/>
      <c r="D174" s="70" t="n"/>
      <c r="E174" s="70" t="n"/>
      <c r="F174" s="69" t="n"/>
      <c r="G174" s="70" t="n"/>
    </row>
    <row r="175">
      <c r="A175" s="69" t="n"/>
      <c r="B175" s="70" t="n"/>
      <c r="C175" s="70" t="n"/>
      <c r="D175" s="70" t="n"/>
      <c r="E175" s="70" t="n"/>
      <c r="F175" s="69" t="n"/>
      <c r="G175" s="70" t="n"/>
    </row>
    <row r="176">
      <c r="A176" s="69" t="n"/>
      <c r="B176" s="70" t="n"/>
      <c r="C176" s="70" t="n"/>
      <c r="D176" s="70" t="n"/>
      <c r="E176" s="70" t="n"/>
      <c r="F176" s="69" t="n"/>
      <c r="G176" s="70" t="n"/>
    </row>
    <row r="177">
      <c r="A177" s="69" t="n"/>
      <c r="B177" s="70" t="n"/>
      <c r="C177" s="70" t="n"/>
      <c r="D177" s="70" t="n"/>
      <c r="E177" s="70" t="n"/>
      <c r="F177" s="69" t="n"/>
      <c r="G177" s="70" t="n"/>
    </row>
    <row r="178">
      <c r="A178" s="69" t="n"/>
      <c r="B178" s="70" t="n"/>
      <c r="C178" s="70" t="n"/>
      <c r="D178" s="70" t="n"/>
      <c r="E178" s="70" t="n"/>
      <c r="F178" s="69" t="n"/>
      <c r="G178" s="70" t="n"/>
    </row>
    <row r="179">
      <c r="A179" s="69" t="n"/>
      <c r="B179" s="70" t="n"/>
      <c r="C179" s="70" t="n"/>
      <c r="D179" s="70" t="n"/>
      <c r="E179" s="70" t="n"/>
      <c r="F179" s="69" t="n"/>
      <c r="G179" s="70" t="n"/>
    </row>
    <row r="180">
      <c r="A180" s="69" t="n"/>
      <c r="B180" s="70" t="n"/>
      <c r="C180" s="70" t="n"/>
      <c r="D180" s="70" t="n"/>
      <c r="E180" s="70" t="n"/>
      <c r="F180" s="69" t="n"/>
      <c r="G180" s="70" t="n"/>
    </row>
    <row r="181">
      <c r="A181" s="69" t="n"/>
      <c r="B181" s="70" t="n"/>
      <c r="C181" s="70" t="n"/>
      <c r="D181" s="70" t="n"/>
      <c r="E181" s="70" t="n"/>
      <c r="F181" s="69" t="n"/>
      <c r="G181" s="70" t="n"/>
    </row>
    <row r="182">
      <c r="A182" s="69" t="n"/>
      <c r="B182" s="70" t="n"/>
      <c r="C182" s="70" t="n"/>
      <c r="D182" s="70" t="n"/>
      <c r="E182" s="70" t="n"/>
      <c r="F182" s="69" t="n"/>
      <c r="G182" s="70" t="n"/>
    </row>
    <row r="183">
      <c r="A183" s="69" t="n"/>
      <c r="B183" s="70" t="n"/>
      <c r="C183" s="70" t="n"/>
      <c r="D183" s="70" t="n"/>
      <c r="E183" s="70" t="n"/>
      <c r="F183" s="69" t="n"/>
      <c r="G183" s="70" t="n"/>
    </row>
    <row r="184">
      <c r="A184" s="69" t="n"/>
      <c r="B184" s="70" t="n"/>
      <c r="C184" s="70" t="n"/>
      <c r="D184" s="70" t="n"/>
      <c r="E184" s="70" t="n"/>
      <c r="F184" s="69" t="n"/>
      <c r="G184" s="70" t="n"/>
    </row>
    <row r="185">
      <c r="A185" s="69" t="n"/>
      <c r="B185" s="70" t="n"/>
      <c r="C185" s="70" t="n"/>
      <c r="D185" s="70" t="n"/>
      <c r="E185" s="70" t="n"/>
      <c r="F185" s="69" t="n"/>
      <c r="G185" s="70" t="n"/>
    </row>
    <row r="186">
      <c r="A186" s="69" t="n"/>
      <c r="B186" s="70" t="n"/>
      <c r="C186" s="70" t="n"/>
      <c r="D186" s="70" t="n"/>
      <c r="E186" s="70" t="n"/>
      <c r="F186" s="69" t="n"/>
      <c r="G186" s="70" t="n"/>
    </row>
    <row r="187">
      <c r="A187" s="69" t="n"/>
      <c r="B187" s="70" t="n"/>
      <c r="C187" s="70" t="n"/>
      <c r="D187" s="70" t="n"/>
      <c r="E187" s="70" t="n"/>
      <c r="F187" s="69" t="n"/>
      <c r="G187" s="70" t="n"/>
    </row>
    <row r="188">
      <c r="A188" s="69" t="n"/>
      <c r="B188" s="70" t="n"/>
      <c r="C188" s="70" t="n"/>
      <c r="D188" s="70" t="n"/>
      <c r="E188" s="70" t="n"/>
      <c r="F188" s="69" t="n"/>
      <c r="G188" s="70" t="n"/>
    </row>
    <row r="189">
      <c r="A189" s="69" t="n"/>
      <c r="B189" s="70" t="n"/>
      <c r="C189" s="70" t="n"/>
      <c r="D189" s="70" t="n"/>
      <c r="E189" s="70" t="n"/>
      <c r="F189" s="69" t="n"/>
      <c r="G189" s="70" t="n"/>
    </row>
    <row r="190">
      <c r="A190" s="69" t="n"/>
      <c r="B190" s="70" t="n"/>
      <c r="C190" s="70" t="n"/>
      <c r="D190" s="70" t="n"/>
      <c r="E190" s="70" t="n"/>
      <c r="F190" s="69" t="n"/>
      <c r="G190" s="70" t="n"/>
    </row>
    <row r="191">
      <c r="A191" s="69" t="n"/>
      <c r="B191" s="70" t="n"/>
      <c r="C191" s="70" t="n"/>
      <c r="D191" s="70" t="n"/>
      <c r="E191" s="70" t="n"/>
      <c r="F191" s="69" t="n"/>
      <c r="G191" s="70" t="n"/>
    </row>
    <row r="192">
      <c r="A192" s="69" t="n"/>
      <c r="B192" s="70" t="n"/>
      <c r="C192" s="70" t="n"/>
      <c r="D192" s="70" t="n"/>
      <c r="E192" s="70" t="n"/>
      <c r="F192" s="69" t="n"/>
      <c r="G192" s="70" t="n"/>
    </row>
    <row r="193">
      <c r="A193" s="69" t="n"/>
      <c r="B193" s="70" t="n"/>
      <c r="C193" s="70" t="n"/>
      <c r="D193" s="70" t="n"/>
      <c r="E193" s="70" t="n"/>
      <c r="F193" s="69" t="n"/>
      <c r="G193" s="70" t="n"/>
    </row>
    <row r="194">
      <c r="A194" s="69" t="n"/>
      <c r="B194" s="70" t="n"/>
      <c r="C194" s="70" t="n"/>
      <c r="D194" s="70" t="n"/>
      <c r="E194" s="70" t="n"/>
      <c r="F194" s="69" t="n"/>
      <c r="G194" s="70" t="n"/>
    </row>
    <row r="195">
      <c r="A195" s="69" t="n"/>
      <c r="B195" s="70" t="n"/>
      <c r="C195" s="70" t="n"/>
      <c r="D195" s="70" t="n"/>
      <c r="E195" s="70" t="n"/>
      <c r="F195" s="69" t="n"/>
      <c r="G195" s="70" t="n"/>
    </row>
    <row r="196">
      <c r="A196" s="69" t="n"/>
      <c r="B196" s="70" t="n"/>
      <c r="C196" s="70" t="n"/>
      <c r="D196" s="70" t="n"/>
      <c r="E196" s="70" t="n"/>
      <c r="F196" s="69" t="n"/>
      <c r="G196" s="70" t="n"/>
    </row>
    <row r="197">
      <c r="A197" s="69" t="n"/>
      <c r="B197" s="70" t="n"/>
      <c r="C197" s="70" t="n"/>
      <c r="D197" s="70" t="n"/>
      <c r="E197" s="70" t="n"/>
      <c r="F197" s="69" t="n"/>
      <c r="G197" s="70" t="n"/>
    </row>
    <row r="198">
      <c r="A198" s="69" t="n"/>
      <c r="B198" s="70" t="n"/>
      <c r="C198" s="70" t="n"/>
      <c r="D198" s="70" t="n"/>
      <c r="E198" s="70" t="n"/>
      <c r="F198" s="69" t="n"/>
      <c r="G198" s="70" t="n"/>
    </row>
    <row r="199">
      <c r="A199" s="69" t="n"/>
      <c r="B199" s="70" t="n"/>
      <c r="C199" s="70" t="n"/>
      <c r="D199" s="70" t="n"/>
      <c r="E199" s="70" t="n"/>
      <c r="F199" s="69" t="n"/>
      <c r="G199" s="70" t="n"/>
    </row>
    <row r="200">
      <c r="A200" s="69" t="n"/>
      <c r="B200" s="70" t="n"/>
      <c r="C200" s="70" t="n"/>
      <c r="D200" s="70" t="n"/>
      <c r="E200" s="70" t="n"/>
      <c r="F200" s="69" t="n"/>
      <c r="G200" s="70" t="n"/>
    </row>
    <row r="201">
      <c r="A201" s="69" t="n"/>
      <c r="B201" s="70" t="n"/>
      <c r="C201" s="70" t="n"/>
      <c r="D201" s="70" t="n"/>
      <c r="E201" s="70" t="n"/>
      <c r="F201" s="69" t="n"/>
      <c r="G201" s="70" t="n"/>
    </row>
    <row r="202">
      <c r="A202" s="69" t="n"/>
      <c r="B202" s="70" t="n"/>
      <c r="C202" s="70" t="n"/>
      <c r="D202" s="70" t="n"/>
      <c r="E202" s="70" t="n"/>
      <c r="F202" s="69" t="n"/>
      <c r="G202" s="70" t="n"/>
    </row>
    <row r="203">
      <c r="A203" s="69" t="n"/>
      <c r="B203" s="70" t="n"/>
      <c r="C203" s="70" t="n"/>
      <c r="D203" s="70" t="n"/>
      <c r="E203" s="70" t="n"/>
      <c r="F203" s="69" t="n"/>
      <c r="G203" s="70" t="n"/>
    </row>
    <row r="204">
      <c r="A204" s="69" t="n"/>
      <c r="B204" s="70" t="n"/>
      <c r="C204" s="70" t="n"/>
      <c r="D204" s="70" t="n"/>
      <c r="E204" s="70" t="n"/>
      <c r="F204" s="69" t="n"/>
      <c r="G204" s="70" t="n"/>
    </row>
    <row r="205">
      <c r="A205" s="69" t="n"/>
      <c r="B205" s="70" t="n"/>
      <c r="C205" s="70" t="n"/>
      <c r="D205" s="70" t="n"/>
      <c r="E205" s="70" t="n"/>
      <c r="F205" s="69" t="n"/>
      <c r="G205" s="70" t="n"/>
    </row>
    <row r="206">
      <c r="A206" s="69" t="n"/>
      <c r="B206" s="70" t="n"/>
      <c r="C206" s="70" t="n"/>
      <c r="D206" s="70" t="n"/>
      <c r="E206" s="70" t="n"/>
      <c r="F206" s="69" t="n"/>
      <c r="G206" s="70" t="n"/>
    </row>
    <row r="207">
      <c r="A207" s="69" t="n"/>
      <c r="B207" s="70" t="n"/>
      <c r="C207" s="70" t="n"/>
      <c r="D207" s="70" t="n"/>
      <c r="E207" s="70" t="n"/>
      <c r="F207" s="69" t="n"/>
      <c r="G207" s="70" t="n"/>
    </row>
    <row r="208">
      <c r="A208" s="69" t="n"/>
      <c r="B208" s="70" t="n"/>
      <c r="C208" s="70" t="n"/>
      <c r="D208" s="70" t="n"/>
      <c r="E208" s="70" t="n"/>
      <c r="F208" s="69" t="n"/>
      <c r="G208" s="70" t="n"/>
    </row>
    <row r="209">
      <c r="A209" s="69" t="n"/>
      <c r="B209" s="70" t="n"/>
      <c r="C209" s="70" t="n"/>
      <c r="D209" s="70" t="n"/>
      <c r="E209" s="70" t="n"/>
      <c r="F209" s="69" t="n"/>
      <c r="G209" s="70" t="n"/>
    </row>
    <row r="210">
      <c r="A210" s="69" t="n"/>
      <c r="B210" s="70" t="n"/>
      <c r="C210" s="70" t="n"/>
      <c r="D210" s="70" t="n"/>
      <c r="E210" s="70" t="n"/>
      <c r="F210" s="69" t="n"/>
      <c r="G210" s="70" t="n"/>
    </row>
    <row r="211">
      <c r="A211" s="69" t="n"/>
      <c r="B211" s="70" t="n"/>
      <c r="C211" s="70" t="n"/>
      <c r="D211" s="70" t="n"/>
      <c r="E211" s="70" t="n"/>
      <c r="F211" s="69" t="n"/>
      <c r="G211" s="70" t="n"/>
    </row>
    <row r="212">
      <c r="A212" s="69" t="n"/>
      <c r="B212" s="70" t="n"/>
      <c r="C212" s="70" t="n"/>
      <c r="D212" s="70" t="n"/>
      <c r="E212" s="70" t="n"/>
      <c r="F212" s="69" t="n"/>
      <c r="G212" s="70" t="n"/>
    </row>
    <row r="213">
      <c r="A213" s="69" t="n"/>
      <c r="B213" s="70" t="n"/>
      <c r="C213" s="70" t="n"/>
      <c r="D213" s="70" t="n"/>
      <c r="E213" s="70" t="n"/>
      <c r="F213" s="69" t="n"/>
      <c r="G213" s="70" t="n"/>
    </row>
    <row r="214">
      <c r="A214" s="69" t="n"/>
      <c r="B214" s="70" t="n"/>
      <c r="C214" s="70" t="n"/>
      <c r="D214" s="70" t="n"/>
      <c r="E214" s="70" t="n"/>
      <c r="F214" s="69" t="n"/>
      <c r="G214" s="70" t="n"/>
    </row>
    <row r="215">
      <c r="A215" s="69" t="n"/>
      <c r="B215" s="70" t="n"/>
      <c r="C215" s="70" t="n"/>
      <c r="D215" s="70" t="n"/>
      <c r="E215" s="70" t="n"/>
      <c r="F215" s="69" t="n"/>
      <c r="G215" s="70" t="n"/>
    </row>
    <row r="216">
      <c r="A216" s="69" t="n"/>
      <c r="B216" s="70" t="n"/>
      <c r="C216" s="70" t="n"/>
      <c r="D216" s="70" t="n"/>
      <c r="E216" s="70" t="n"/>
      <c r="F216" s="69" t="n"/>
      <c r="G216" s="70" t="n"/>
    </row>
    <row r="217">
      <c r="A217" s="69" t="n"/>
      <c r="B217" s="70" t="n"/>
      <c r="C217" s="70" t="n"/>
      <c r="D217" s="70" t="n"/>
      <c r="E217" s="70" t="n"/>
      <c r="F217" s="69" t="n"/>
      <c r="G217" s="70" t="n"/>
    </row>
    <row r="218">
      <c r="A218" s="69" t="n"/>
      <c r="B218" s="70" t="n"/>
      <c r="C218" s="70" t="n"/>
      <c r="D218" s="70" t="n"/>
      <c r="E218" s="70" t="n"/>
      <c r="F218" s="69" t="n"/>
      <c r="G218" s="70" t="n"/>
    </row>
    <row r="219">
      <c r="A219" s="69" t="n"/>
      <c r="B219" s="70" t="n"/>
      <c r="C219" s="70" t="n"/>
      <c r="D219" s="70" t="n"/>
      <c r="E219" s="70" t="n"/>
      <c r="F219" s="69" t="n"/>
      <c r="G219" s="70" t="n"/>
    </row>
    <row r="220">
      <c r="A220" s="69" t="n"/>
      <c r="B220" s="70" t="n"/>
      <c r="C220" s="70" t="n"/>
      <c r="D220" s="70" t="n"/>
      <c r="E220" s="70" t="n"/>
      <c r="F220" s="69" t="n"/>
      <c r="G220" s="70" t="n"/>
    </row>
    <row r="221">
      <c r="A221" s="69" t="n"/>
      <c r="B221" s="70" t="n"/>
      <c r="C221" s="70" t="n"/>
      <c r="D221" s="70" t="n"/>
      <c r="E221" s="70" t="n"/>
      <c r="F221" s="69" t="n"/>
      <c r="G221" s="70" t="n"/>
    </row>
    <row r="222">
      <c r="A222" s="69" t="n"/>
      <c r="B222" s="70" t="n"/>
      <c r="C222" s="70" t="n"/>
      <c r="D222" s="70" t="n"/>
      <c r="E222" s="70" t="n"/>
      <c r="F222" s="69" t="n"/>
      <c r="G222" s="70" t="n"/>
    </row>
    <row r="223">
      <c r="A223" s="69" t="n"/>
      <c r="B223" s="70" t="n"/>
      <c r="C223" s="70" t="n"/>
      <c r="D223" s="70" t="n"/>
      <c r="E223" s="70" t="n"/>
      <c r="F223" s="69" t="n"/>
      <c r="G223" s="70" t="n"/>
    </row>
    <row r="224">
      <c r="A224" s="69" t="n"/>
      <c r="B224" s="70" t="n"/>
      <c r="C224" s="70" t="n"/>
      <c r="D224" s="70" t="n"/>
      <c r="E224" s="70" t="n"/>
      <c r="F224" s="69" t="n"/>
      <c r="G224" s="70" t="n"/>
    </row>
    <row r="225">
      <c r="A225" s="69" t="n"/>
      <c r="B225" s="70" t="n"/>
      <c r="C225" s="70" t="n"/>
      <c r="D225" s="70" t="n"/>
      <c r="E225" s="70" t="n"/>
      <c r="F225" s="69" t="n"/>
      <c r="G225" s="70" t="n"/>
    </row>
    <row r="226">
      <c r="A226" s="69" t="n"/>
      <c r="B226" s="70" t="n"/>
      <c r="C226" s="70" t="n"/>
      <c r="D226" s="70" t="n"/>
      <c r="E226" s="70" t="n"/>
      <c r="F226" s="69" t="n"/>
      <c r="G226" s="70" t="n"/>
    </row>
    <row r="227">
      <c r="A227" s="69" t="n"/>
      <c r="B227" s="70" t="n"/>
      <c r="C227" s="70" t="n"/>
      <c r="D227" s="70" t="n"/>
      <c r="E227" s="70" t="n"/>
      <c r="F227" s="69" t="n"/>
      <c r="G227" s="70" t="n"/>
    </row>
    <row r="228">
      <c r="A228" s="69" t="n"/>
      <c r="B228" s="70" t="n"/>
      <c r="C228" s="70" t="n"/>
      <c r="D228" s="70" t="n"/>
      <c r="E228" s="70" t="n"/>
      <c r="F228" s="69" t="n"/>
      <c r="G228" s="70" t="n"/>
    </row>
    <row r="229">
      <c r="A229" s="69" t="n"/>
      <c r="B229" s="70" t="n"/>
      <c r="C229" s="70" t="n"/>
      <c r="D229" s="70" t="n"/>
      <c r="E229" s="70" t="n"/>
      <c r="F229" s="69" t="n"/>
      <c r="G229" s="70" t="n"/>
    </row>
    <row r="230">
      <c r="A230" s="69" t="n"/>
      <c r="B230" s="70" t="n"/>
      <c r="C230" s="70" t="n"/>
      <c r="D230" s="70" t="n"/>
      <c r="E230" s="70" t="n"/>
      <c r="F230" s="69" t="n"/>
      <c r="G230" s="70" t="n"/>
    </row>
    <row r="231">
      <c r="A231" s="69" t="n"/>
      <c r="B231" s="70" t="n"/>
      <c r="C231" s="70" t="n"/>
      <c r="D231" s="70" t="n"/>
      <c r="E231" s="70" t="n"/>
      <c r="F231" s="69" t="n"/>
      <c r="G231" s="70" t="n"/>
    </row>
    <row r="232">
      <c r="A232" s="69" t="n"/>
      <c r="B232" s="70" t="n"/>
      <c r="C232" s="70" t="n"/>
      <c r="D232" s="70" t="n"/>
      <c r="E232" s="70" t="n"/>
      <c r="F232" s="69" t="n"/>
      <c r="G232" s="70" t="n"/>
    </row>
    <row r="233">
      <c r="A233" s="69" t="n"/>
      <c r="B233" s="70" t="n"/>
      <c r="C233" s="70" t="n"/>
      <c r="D233" s="70" t="n"/>
      <c r="E233" s="70" t="n"/>
      <c r="F233" s="69" t="n"/>
      <c r="G233" s="70" t="n"/>
    </row>
    <row r="234">
      <c r="A234" s="69" t="n"/>
      <c r="B234" s="70" t="n"/>
      <c r="C234" s="70" t="n"/>
      <c r="D234" s="70" t="n"/>
      <c r="E234" s="70" t="n"/>
      <c r="F234" s="69" t="n"/>
      <c r="G234" s="70" t="n"/>
    </row>
    <row r="235">
      <c r="A235" s="69" t="n"/>
      <c r="B235" s="70" t="n"/>
      <c r="C235" s="70" t="n"/>
      <c r="D235" s="70" t="n"/>
      <c r="E235" s="70" t="n"/>
      <c r="F235" s="69" t="n"/>
      <c r="G235" s="70" t="n"/>
    </row>
    <row r="236">
      <c r="A236" s="69" t="n"/>
      <c r="B236" s="70" t="n"/>
      <c r="C236" s="70" t="n"/>
      <c r="D236" s="70" t="n"/>
      <c r="E236" s="70" t="n"/>
      <c r="F236" s="69" t="n"/>
      <c r="G236" s="70" t="n"/>
    </row>
    <row r="237">
      <c r="A237" s="69" t="n"/>
      <c r="B237" s="70" t="n"/>
      <c r="C237" s="70" t="n"/>
      <c r="D237" s="70" t="n"/>
      <c r="E237" s="70" t="n"/>
      <c r="F237" s="69" t="n"/>
      <c r="G237" s="70" t="n"/>
    </row>
    <row r="238">
      <c r="A238" s="69" t="n"/>
      <c r="B238" s="70" t="n"/>
      <c r="C238" s="70" t="n"/>
      <c r="D238" s="70" t="n"/>
      <c r="E238" s="70" t="n"/>
      <c r="F238" s="69" t="n"/>
      <c r="G238" s="70" t="n"/>
    </row>
    <row r="239">
      <c r="A239" s="69" t="n"/>
      <c r="B239" s="70" t="n"/>
      <c r="C239" s="70" t="n"/>
      <c r="D239" s="70" t="n"/>
      <c r="E239" s="70" t="n"/>
      <c r="F239" s="69" t="n"/>
      <c r="G239" s="70" t="n"/>
    </row>
    <row r="240">
      <c r="A240" s="69" t="n"/>
      <c r="B240" s="70" t="n"/>
      <c r="C240" s="70" t="n"/>
      <c r="D240" s="70" t="n"/>
      <c r="E240" s="70" t="n"/>
      <c r="F240" s="69" t="n"/>
      <c r="G240" s="70" t="n"/>
    </row>
    <row r="241">
      <c r="A241" s="69" t="n"/>
      <c r="B241" s="70" t="n"/>
      <c r="C241" s="70" t="n"/>
      <c r="D241" s="70" t="n"/>
      <c r="E241" s="70" t="n"/>
      <c r="F241" s="69" t="n"/>
      <c r="G241" s="70" t="n"/>
    </row>
    <row r="242">
      <c r="A242" s="69" t="n"/>
      <c r="B242" s="70" t="n"/>
      <c r="C242" s="70" t="n"/>
      <c r="D242" s="70" t="n"/>
      <c r="E242" s="70" t="n"/>
      <c r="F242" s="69" t="n"/>
      <c r="G242" s="70" t="n"/>
    </row>
    <row r="243">
      <c r="A243" s="69" t="n"/>
      <c r="B243" s="70" t="n"/>
      <c r="C243" s="70" t="n"/>
      <c r="D243" s="70" t="n"/>
      <c r="E243" s="70" t="n"/>
      <c r="F243" s="69" t="n"/>
      <c r="G243" s="70" t="n"/>
    </row>
    <row r="244">
      <c r="A244" s="69" t="n"/>
      <c r="B244" s="70" t="n"/>
      <c r="C244" s="70" t="n"/>
      <c r="D244" s="70" t="n"/>
      <c r="E244" s="70" t="n"/>
      <c r="F244" s="69" t="n"/>
      <c r="G244" s="70" t="n"/>
    </row>
    <row r="245">
      <c r="A245" s="69" t="n"/>
      <c r="B245" s="70" t="n"/>
      <c r="C245" s="70" t="n"/>
      <c r="D245" s="70" t="n"/>
      <c r="E245" s="70" t="n"/>
      <c r="F245" s="69" t="n"/>
      <c r="G245" s="70" t="n"/>
    </row>
    <row r="246">
      <c r="A246" s="69" t="n"/>
      <c r="B246" s="70" t="n"/>
      <c r="C246" s="70" t="n"/>
      <c r="D246" s="70" t="n"/>
      <c r="E246" s="70" t="n"/>
      <c r="F246" s="69" t="n"/>
      <c r="G246" s="70" t="n"/>
    </row>
    <row r="247">
      <c r="A247" s="69" t="n"/>
      <c r="B247" s="70" t="n"/>
      <c r="C247" s="70" t="n"/>
      <c r="D247" s="70" t="n"/>
      <c r="E247" s="70" t="n"/>
      <c r="F247" s="69" t="n"/>
      <c r="G247" s="70" t="n"/>
    </row>
    <row r="248">
      <c r="A248" s="69" t="n"/>
      <c r="B248" s="70" t="n"/>
      <c r="C248" s="70" t="n"/>
      <c r="D248" s="70" t="n"/>
      <c r="E248" s="70" t="n"/>
      <c r="F248" s="69" t="n"/>
      <c r="G248" s="70" t="n"/>
    </row>
    <row r="249">
      <c r="A249" s="69" t="n"/>
      <c r="B249" s="70" t="n"/>
      <c r="C249" s="70" t="n"/>
      <c r="D249" s="70" t="n"/>
      <c r="E249" s="70" t="n"/>
      <c r="F249" s="69" t="n"/>
      <c r="G249" s="70" t="n"/>
    </row>
    <row r="250">
      <c r="A250" s="69" t="n"/>
      <c r="B250" s="70" t="n"/>
      <c r="C250" s="70" t="n"/>
      <c r="D250" s="70" t="n"/>
      <c r="E250" s="70" t="n"/>
      <c r="F250" s="69" t="n"/>
      <c r="G250" s="70" t="n"/>
    </row>
    <row r="251">
      <c r="A251" s="69" t="n"/>
      <c r="B251" s="70" t="n"/>
      <c r="C251" s="70" t="n"/>
      <c r="D251" s="70" t="n"/>
      <c r="E251" s="70" t="n"/>
      <c r="F251" s="69" t="n"/>
      <c r="G251" s="70" t="n"/>
    </row>
    <row r="252">
      <c r="A252" s="69" t="n"/>
      <c r="B252" s="70" t="n"/>
      <c r="C252" s="70" t="n"/>
      <c r="D252" s="70" t="n"/>
      <c r="E252" s="70" t="n"/>
      <c r="F252" s="69" t="n"/>
      <c r="G252" s="70" t="n"/>
    </row>
    <row r="253">
      <c r="A253" s="69" t="n"/>
      <c r="B253" s="70" t="n"/>
      <c r="C253" s="70" t="n"/>
      <c r="D253" s="70" t="n"/>
      <c r="E253" s="70" t="n"/>
      <c r="F253" s="69" t="n"/>
      <c r="G253" s="70" t="n"/>
    </row>
    <row r="254">
      <c r="A254" s="69" t="n"/>
      <c r="B254" s="70" t="n"/>
      <c r="C254" s="70" t="n"/>
      <c r="D254" s="70" t="n"/>
      <c r="E254" s="70" t="n"/>
      <c r="F254" s="69" t="n"/>
      <c r="G254" s="70" t="n"/>
    </row>
    <row r="255">
      <c r="A255" s="69" t="n"/>
      <c r="B255" s="70" t="n"/>
      <c r="C255" s="70" t="n"/>
      <c r="D255" s="70" t="n"/>
      <c r="E255" s="70" t="n"/>
      <c r="F255" s="69" t="n"/>
      <c r="G255" s="70" t="n"/>
    </row>
    <row r="256">
      <c r="A256" s="69" t="n"/>
      <c r="B256" s="70" t="n"/>
      <c r="C256" s="70" t="n"/>
      <c r="D256" s="70" t="n"/>
      <c r="E256" s="70" t="n"/>
      <c r="F256" s="69" t="n"/>
      <c r="G256" s="70" t="n"/>
    </row>
    <row r="257">
      <c r="A257" s="69" t="n"/>
      <c r="B257" s="70" t="n"/>
      <c r="C257" s="70" t="n"/>
      <c r="D257" s="70" t="n"/>
      <c r="E257" s="70" t="n"/>
      <c r="F257" s="69" t="n"/>
      <c r="G257" s="70" t="n"/>
    </row>
    <row r="258">
      <c r="A258" s="69" t="n"/>
      <c r="B258" s="70" t="n"/>
      <c r="C258" s="70" t="n"/>
      <c r="D258" s="70" t="n"/>
      <c r="E258" s="70" t="n"/>
      <c r="F258" s="69" t="n"/>
      <c r="G258" s="70" t="n"/>
    </row>
    <row r="259">
      <c r="A259" s="69" t="n"/>
      <c r="B259" s="70" t="n"/>
      <c r="C259" s="70" t="n"/>
      <c r="D259" s="70" t="n"/>
      <c r="E259" s="70" t="n"/>
      <c r="F259" s="69" t="n"/>
      <c r="G259" s="70" t="n"/>
    </row>
    <row r="260">
      <c r="A260" s="69" t="n"/>
      <c r="B260" s="70" t="n"/>
      <c r="C260" s="70" t="n"/>
      <c r="D260" s="70" t="n"/>
      <c r="E260" s="70" t="n"/>
      <c r="F260" s="69" t="n"/>
      <c r="G260" s="70" t="n"/>
    </row>
    <row r="261">
      <c r="A261" s="69" t="n"/>
      <c r="B261" s="70" t="n"/>
      <c r="C261" s="70" t="n"/>
      <c r="D261" s="70" t="n"/>
      <c r="E261" s="70" t="n"/>
      <c r="F261" s="69" t="n"/>
      <c r="G261" s="70" t="n"/>
    </row>
    <row r="262">
      <c r="A262" s="69" t="n"/>
      <c r="B262" s="70" t="n"/>
      <c r="C262" s="70" t="n"/>
      <c r="D262" s="70" t="n"/>
      <c r="E262" s="70" t="n"/>
      <c r="F262" s="69" t="n"/>
      <c r="G262" s="70" t="n"/>
    </row>
    <row r="263">
      <c r="A263" s="69" t="n"/>
      <c r="B263" s="70" t="n"/>
      <c r="C263" s="70" t="n"/>
      <c r="D263" s="70" t="n"/>
      <c r="E263" s="70" t="n"/>
      <c r="F263" s="69" t="n"/>
      <c r="G263" s="70" t="n"/>
    </row>
    <row r="264">
      <c r="A264" s="69" t="n"/>
      <c r="B264" s="70" t="n"/>
      <c r="C264" s="70" t="n"/>
      <c r="D264" s="70" t="n"/>
      <c r="E264" s="70" t="n"/>
      <c r="F264" s="69" t="n"/>
      <c r="G264" s="70" t="n"/>
    </row>
    <row r="265">
      <c r="A265" s="69" t="n"/>
      <c r="B265" s="70" t="n"/>
      <c r="C265" s="70" t="n"/>
      <c r="D265" s="70" t="n"/>
      <c r="E265" s="70" t="n"/>
      <c r="F265" s="69" t="n"/>
      <c r="G265" s="70" t="n"/>
    </row>
    <row r="266">
      <c r="A266" s="69" t="n"/>
      <c r="B266" s="70" t="n"/>
      <c r="C266" s="70" t="n"/>
      <c r="D266" s="70" t="n"/>
      <c r="E266" s="70" t="n"/>
      <c r="F266" s="69" t="n"/>
      <c r="G266" s="70" t="n"/>
    </row>
    <row r="267">
      <c r="A267" s="69" t="n"/>
      <c r="B267" s="70" t="n"/>
      <c r="C267" s="70" t="n"/>
      <c r="D267" s="70" t="n"/>
      <c r="E267" s="70" t="n"/>
      <c r="F267" s="69" t="n"/>
      <c r="G267" s="70" t="n"/>
    </row>
    <row r="268">
      <c r="A268" s="69" t="n"/>
      <c r="B268" s="70" t="n"/>
      <c r="C268" s="70" t="n"/>
      <c r="D268" s="70" t="n"/>
      <c r="E268" s="70" t="n"/>
      <c r="F268" s="69" t="n"/>
      <c r="G268" s="70" t="n"/>
    </row>
    <row r="269">
      <c r="A269" s="69" t="n"/>
      <c r="B269" s="70" t="n"/>
      <c r="C269" s="70" t="n"/>
      <c r="D269" s="70" t="n"/>
      <c r="E269" s="70" t="n"/>
      <c r="F269" s="69" t="n"/>
      <c r="G269" s="70" t="n"/>
    </row>
    <row r="270">
      <c r="A270" s="69" t="n"/>
      <c r="B270" s="70" t="n"/>
      <c r="C270" s="70" t="n"/>
      <c r="D270" s="70" t="n"/>
      <c r="E270" s="70" t="n"/>
      <c r="F270" s="69" t="n"/>
      <c r="G270" s="70" t="n"/>
    </row>
    <row r="271">
      <c r="A271" s="69" t="n"/>
      <c r="B271" s="70" t="n"/>
      <c r="C271" s="70" t="n"/>
      <c r="D271" s="70" t="n"/>
      <c r="E271" s="70" t="n"/>
      <c r="F271" s="69" t="n"/>
      <c r="G271" s="70" t="n"/>
    </row>
    <row r="272">
      <c r="A272" s="69" t="n"/>
      <c r="B272" s="70" t="n"/>
      <c r="C272" s="70" t="n"/>
      <c r="D272" s="70" t="n"/>
      <c r="E272" s="70" t="n"/>
      <c r="F272" s="69" t="n"/>
      <c r="G272" s="70" t="n"/>
    </row>
    <row r="273">
      <c r="A273" s="69" t="n"/>
      <c r="B273" s="70" t="n"/>
      <c r="C273" s="70" t="n"/>
      <c r="D273" s="70" t="n"/>
      <c r="E273" s="70" t="n"/>
      <c r="F273" s="69" t="n"/>
      <c r="G273" s="70" t="n"/>
    </row>
    <row r="274">
      <c r="A274" s="69" t="n"/>
      <c r="B274" s="70" t="n"/>
      <c r="C274" s="70" t="n"/>
      <c r="D274" s="70" t="n"/>
      <c r="E274" s="70" t="n"/>
      <c r="F274" s="69" t="n"/>
      <c r="G274" s="70" t="n"/>
    </row>
    <row r="275">
      <c r="A275" s="69" t="n"/>
      <c r="B275" s="70" t="n"/>
      <c r="C275" s="70" t="n"/>
      <c r="D275" s="70" t="n"/>
      <c r="E275" s="70" t="n"/>
      <c r="F275" s="69" t="n"/>
      <c r="G275" s="70" t="n"/>
    </row>
    <row r="276">
      <c r="A276" s="69" t="n"/>
      <c r="B276" s="70" t="n"/>
      <c r="C276" s="70" t="n"/>
      <c r="D276" s="70" t="n"/>
      <c r="E276" s="70" t="n"/>
      <c r="F276" s="69" t="n"/>
      <c r="G276" s="70" t="n"/>
    </row>
    <row r="277">
      <c r="A277" s="69" t="n"/>
      <c r="B277" s="70" t="n"/>
      <c r="C277" s="70" t="n"/>
      <c r="D277" s="70" t="n"/>
      <c r="E277" s="70" t="n"/>
      <c r="F277" s="69" t="n"/>
      <c r="G277" s="70" t="n"/>
    </row>
    <row r="278">
      <c r="A278" s="69" t="n"/>
      <c r="B278" s="70" t="n"/>
      <c r="C278" s="70" t="n"/>
      <c r="D278" s="70" t="n"/>
      <c r="E278" s="70" t="n"/>
      <c r="F278" s="69" t="n"/>
      <c r="G278" s="70" t="n"/>
    </row>
    <row r="279">
      <c r="A279" s="69" t="n"/>
      <c r="B279" s="70" t="n"/>
      <c r="C279" s="70" t="n"/>
      <c r="D279" s="70" t="n"/>
      <c r="E279" s="70" t="n"/>
      <c r="F279" s="69" t="n"/>
      <c r="G279" s="70" t="n"/>
    </row>
    <row r="280">
      <c r="A280" s="69" t="n"/>
      <c r="B280" s="70" t="n"/>
      <c r="C280" s="70" t="n"/>
      <c r="D280" s="70" t="n"/>
      <c r="E280" s="70" t="n"/>
      <c r="F280" s="69" t="n"/>
      <c r="G280" s="70" t="n"/>
    </row>
    <row r="281">
      <c r="A281" s="69" t="n"/>
      <c r="B281" s="70" t="n"/>
      <c r="C281" s="70" t="n"/>
      <c r="D281" s="70" t="n"/>
      <c r="E281" s="70" t="n"/>
      <c r="F281" s="69" t="n"/>
      <c r="G281" s="70" t="n"/>
    </row>
    <row r="282">
      <c r="A282" s="69" t="n"/>
      <c r="B282" s="70" t="n"/>
      <c r="C282" s="70" t="n"/>
      <c r="D282" s="70" t="n"/>
      <c r="E282" s="70" t="n"/>
      <c r="F282" s="69" t="n"/>
      <c r="G282" s="70" t="n"/>
    </row>
    <row r="283">
      <c r="A283" s="69" t="n"/>
      <c r="B283" s="70" t="n"/>
      <c r="C283" s="70" t="n"/>
      <c r="D283" s="70" t="n"/>
      <c r="E283" s="70" t="n"/>
      <c r="F283" s="69" t="n"/>
      <c r="G283" s="70" t="n"/>
    </row>
    <row r="284">
      <c r="A284" s="69" t="n"/>
      <c r="B284" s="70" t="n"/>
      <c r="C284" s="70" t="n"/>
      <c r="D284" s="70" t="n"/>
      <c r="E284" s="70" t="n"/>
      <c r="F284" s="69" t="n"/>
      <c r="G284" s="70" t="n"/>
    </row>
    <row r="285">
      <c r="A285" s="69" t="n"/>
      <c r="B285" s="70" t="n"/>
      <c r="C285" s="70" t="n"/>
      <c r="D285" s="70" t="n"/>
      <c r="E285" s="70" t="n"/>
      <c r="F285" s="69" t="n"/>
      <c r="G285" s="70" t="n"/>
    </row>
    <row r="286">
      <c r="A286" s="69" t="n"/>
      <c r="B286" s="70" t="n"/>
      <c r="C286" s="70" t="n"/>
      <c r="D286" s="70" t="n"/>
      <c r="E286" s="70" t="n"/>
      <c r="F286" s="69" t="n"/>
      <c r="G286" s="70" t="n"/>
    </row>
    <row r="287">
      <c r="A287" s="69" t="n"/>
      <c r="B287" s="70" t="n"/>
      <c r="C287" s="70" t="n"/>
      <c r="D287" s="70" t="n"/>
      <c r="E287" s="70" t="n"/>
      <c r="F287" s="69" t="n"/>
      <c r="G287" s="70" t="n"/>
    </row>
    <row r="288">
      <c r="A288" s="69" t="n"/>
      <c r="B288" s="70" t="n"/>
      <c r="C288" s="70" t="n"/>
      <c r="D288" s="70" t="n"/>
      <c r="E288" s="70" t="n"/>
      <c r="F288" s="69" t="n"/>
      <c r="G288" s="70" t="n"/>
    </row>
    <row r="289">
      <c r="A289" s="69" t="n"/>
      <c r="B289" s="70" t="n"/>
      <c r="C289" s="70" t="n"/>
      <c r="D289" s="70" t="n"/>
      <c r="E289" s="70" t="n"/>
      <c r="F289" s="69" t="n"/>
      <c r="G289" s="70" t="n"/>
    </row>
    <row r="290">
      <c r="A290" s="69" t="n"/>
      <c r="B290" s="70" t="n"/>
      <c r="C290" s="70" t="n"/>
      <c r="D290" s="70" t="n"/>
      <c r="E290" s="70" t="n"/>
      <c r="F290" s="69" t="n"/>
      <c r="G290" s="70" t="n"/>
    </row>
    <row r="291">
      <c r="A291" s="69" t="n"/>
      <c r="B291" s="70" t="n"/>
      <c r="C291" s="70" t="n"/>
      <c r="D291" s="70" t="n"/>
      <c r="E291" s="70" t="n"/>
      <c r="F291" s="69" t="n"/>
      <c r="G291" s="70" t="n"/>
    </row>
    <row r="292">
      <c r="A292" s="69" t="n"/>
      <c r="B292" s="70" t="n"/>
      <c r="C292" s="70" t="n"/>
      <c r="D292" s="70" t="n"/>
      <c r="E292" s="70" t="n"/>
      <c r="F292" s="69" t="n"/>
      <c r="G292" s="70" t="n"/>
    </row>
    <row r="293">
      <c r="A293" s="69" t="n"/>
      <c r="B293" s="70" t="n"/>
      <c r="C293" s="70" t="n"/>
      <c r="D293" s="70" t="n"/>
      <c r="E293" s="70" t="n"/>
      <c r="F293" s="69" t="n"/>
      <c r="G293" s="70" t="n"/>
    </row>
    <row r="294">
      <c r="A294" s="69" t="n"/>
      <c r="B294" s="70" t="n"/>
      <c r="C294" s="70" t="n"/>
      <c r="D294" s="70" t="n"/>
      <c r="E294" s="70" t="n"/>
      <c r="F294" s="69" t="n"/>
      <c r="G294" s="70" t="n"/>
    </row>
    <row r="295">
      <c r="A295" s="69" t="n"/>
      <c r="B295" s="70" t="n"/>
      <c r="C295" s="70" t="n"/>
      <c r="D295" s="70" t="n"/>
      <c r="E295" s="70" t="n"/>
      <c r="F295" s="69" t="n"/>
      <c r="G295" s="70" t="n"/>
    </row>
    <row r="296">
      <c r="A296" s="69" t="n"/>
      <c r="B296" s="70" t="n"/>
      <c r="C296" s="70" t="n"/>
      <c r="D296" s="70" t="n"/>
      <c r="E296" s="70" t="n"/>
      <c r="F296" s="69" t="n"/>
      <c r="G296" s="70" t="n"/>
    </row>
    <row r="297">
      <c r="A297" s="69" t="n"/>
      <c r="B297" s="70" t="n"/>
      <c r="C297" s="70" t="n"/>
      <c r="D297" s="70" t="n"/>
      <c r="E297" s="70" t="n"/>
      <c r="F297" s="69" t="n"/>
      <c r="G297" s="70" t="n"/>
    </row>
    <row r="298">
      <c r="A298" s="69" t="n"/>
      <c r="B298" s="70" t="n"/>
      <c r="C298" s="70" t="n"/>
      <c r="D298" s="70" t="n"/>
      <c r="E298" s="70" t="n"/>
      <c r="F298" s="69" t="n"/>
      <c r="G298" s="70" t="n"/>
    </row>
    <row r="299">
      <c r="A299" s="69" t="n"/>
      <c r="B299" s="70" t="n"/>
      <c r="C299" s="70" t="n"/>
      <c r="D299" s="70" t="n"/>
      <c r="E299" s="70" t="n"/>
      <c r="F299" s="69" t="n"/>
      <c r="G299" s="70" t="n"/>
    </row>
    <row r="300">
      <c r="A300" s="69" t="n"/>
      <c r="B300" s="70" t="n"/>
      <c r="C300" s="70" t="n"/>
      <c r="D300" s="70" t="n"/>
      <c r="E300" s="70" t="n"/>
      <c r="F300" s="69" t="n"/>
      <c r="G300" s="70" t="n"/>
    </row>
  </sheetData>
  <dataValidations count="1">
    <dataValidation sqref="B5:B300" showDropDown="0" showInputMessage="0" showErrorMessage="0" allowBlank="1" type="list">
      <formula1>"Rebalance,New position,Exit,Review,Risk alert,Other"</formula1>
    </dataValidation>
  </dataValidations>
  <pageMargins left="0.75" right="0.75" top="1" bottom="1" header="0.5" footer="0.5"/>
</worksheet>
</file>

<file path=xl/worksheets/sheet9.xml><?xml version="1.0" encoding="utf-8"?>
<worksheet xmlns="http://schemas.openxmlformats.org/spreadsheetml/2006/main">
  <sheetPr>
    <tabColor rgb="008A919C"/>
    <outlinePr summaryBelow="1" summaryRight="1"/>
    <pageSetUpPr/>
  </sheetPr>
  <dimension ref="A1:H19"/>
  <sheetViews>
    <sheetView showGridLines="0" workbookViewId="0">
      <selection activeCell="A1" sqref="A1"/>
    </sheetView>
  </sheetViews>
  <sheetFormatPr baseColWidth="8" defaultRowHeight="15"/>
  <cols>
    <col width="34" customWidth="1" min="1" max="1"/>
    <col width="26" customWidth="1" min="2" max="2"/>
    <col width="70" customWidth="1" min="3" max="3"/>
    <col width="20" customWidth="1" min="5" max="5"/>
    <col width="20" customWidth="1" min="6" max="6"/>
    <col width="20" customWidth="1" min="7" max="7"/>
    <col width="20" customWidth="1" min="8" max="8"/>
  </cols>
  <sheetData>
    <row r="1">
      <c r="A1" s="1" t="inlineStr">
        <is>
          <t>Settings</t>
        </is>
      </c>
    </row>
    <row r="2">
      <c r="A2" s="2" t="inlineStr">
        <is>
          <t>Key parameters. Everything else in the workbook reads from here.</t>
        </is>
      </c>
    </row>
    <row r="4">
      <c r="A4" s="12" t="inlineStr">
        <is>
          <t>Portfolio name</t>
        </is>
      </c>
      <c r="B4" s="71" t="inlineStr">
        <is>
          <t>Long-term portfolio (example)</t>
        </is>
      </c>
      <c r="C4" s="2" t="inlineStr">
        <is>
          <t>Shown on the Dashboard.</t>
        </is>
      </c>
    </row>
    <row r="5">
      <c r="A5" s="12" t="inlineStr">
        <is>
          <t>Base currency</t>
        </is>
      </c>
      <c r="B5" s="71" t="inlineStr">
        <is>
          <t>EUR</t>
        </is>
      </c>
      <c r="C5" s="2" t="inlineStr">
        <is>
          <t>All values are converted to this currency.</t>
        </is>
      </c>
    </row>
    <row r="6">
      <c r="A6" s="12" t="inlineStr">
        <is>
          <t>Benchmark name</t>
        </is>
      </c>
      <c r="B6" s="71" t="inlineStr">
        <is>
          <t>MSCI World Net TR (EUR)</t>
        </is>
      </c>
      <c r="C6" s="2" t="inlineStr">
        <is>
          <t>Used for beta, tracking error, information ratio and charts.</t>
        </is>
      </c>
    </row>
    <row r="7">
      <c r="A7" s="12" t="inlineStr">
        <is>
          <t>Benchmark Bloomberg ticker</t>
        </is>
      </c>
      <c r="B7" s="71" t="inlineStr">
        <is>
          <t>MSDEWIN Index</t>
        </is>
      </c>
      <c r="C7" s="2" t="inlineStr">
        <is>
          <t>Used by BDH in the History sheet (Bloomberg version).</t>
        </is>
      </c>
    </row>
    <row r="8">
      <c r="A8" s="12" t="inlineStr">
        <is>
          <t>Risk-free rate (annual)</t>
        </is>
      </c>
      <c r="B8" s="72" t="n">
        <v>0.026</v>
      </c>
      <c r="C8" s="2" t="inlineStr">
        <is>
          <t>3-month Euribor, typed by hand. Update it a few times a year.</t>
        </is>
      </c>
    </row>
    <row r="9">
      <c r="A9" s="12" t="inlineStr">
        <is>
          <t>VaR / ES confidence level</t>
        </is>
      </c>
      <c r="B9" s="73" t="n">
        <v>0.95</v>
      </c>
      <c r="C9" s="2" t="inlineStr">
        <is>
          <t>0.95 or 0.99.</t>
        </is>
      </c>
    </row>
    <row r="10">
      <c r="A10" s="12" t="inlineStr">
        <is>
          <t>Rebalancing threshold</t>
        </is>
      </c>
      <c r="B10" s="73" t="n">
        <v>0.02</v>
      </c>
      <c r="C10" s="2" t="inlineStr">
        <is>
          <t>A position is flagged when its weight differs from target by more than this.</t>
        </is>
      </c>
    </row>
    <row r="11">
      <c r="A11" s="12" t="inlineStr">
        <is>
          <t>Inception date</t>
        </is>
      </c>
      <c r="B11" s="74" t="n">
        <v>45688</v>
      </c>
      <c r="C11" s="2" t="inlineStr">
        <is>
          <t>First month-end in History.</t>
        </is>
      </c>
    </row>
    <row r="13">
      <c r="A13" s="64" t="inlineStr">
        <is>
          <t>Target weights by strategy</t>
        </is>
      </c>
      <c r="E13" s="64" t="inlineStr">
        <is>
          <t>Asset classes</t>
        </is>
      </c>
      <c r="F13" s="64" t="inlineStr">
        <is>
          <t>Regions</t>
        </is>
      </c>
      <c r="G13" s="64" t="inlineStr">
        <is>
          <t>Currencies</t>
        </is>
      </c>
      <c r="H13" s="64" t="inlineStr">
        <is>
          <t>Transaction types</t>
        </is>
      </c>
    </row>
    <row r="14" ht="32" customHeight="1">
      <c r="A14" s="16" t="inlineStr">
        <is>
          <t>Strategy</t>
        </is>
      </c>
      <c r="B14" s="16" t="inlineStr">
        <is>
          <t>Target weight</t>
        </is>
      </c>
      <c r="C14" s="16" t="inlineStr">
        <is>
          <t>Note</t>
        </is>
      </c>
      <c r="E14" s="27" t="inlineStr">
        <is>
          <t>Equity</t>
        </is>
      </c>
      <c r="F14" s="27" t="inlineStr">
        <is>
          <t>Global</t>
        </is>
      </c>
      <c r="G14" s="27" t="inlineStr">
        <is>
          <t>EUR</t>
        </is>
      </c>
      <c r="H14" s="27" t="inlineStr">
        <is>
          <t>Deposit</t>
        </is>
      </c>
    </row>
    <row r="15">
      <c r="A15" s="27" t="inlineStr">
        <is>
          <t>Value strategy</t>
        </is>
      </c>
      <c r="B15" s="73" t="n">
        <v>0.5600000000000001</v>
      </c>
      <c r="C15" s="2" t="inlineStr">
        <is>
          <t>Example: 80 % risky assets split 70/30 value/trend, 20 % cash (IPS).</t>
        </is>
      </c>
      <c r="E15" s="27" t="inlineStr">
        <is>
          <t>Bond</t>
        </is>
      </c>
      <c r="F15" s="27" t="inlineStr">
        <is>
          <t>North America</t>
        </is>
      </c>
      <c r="G15" s="27" t="inlineStr">
        <is>
          <t>USD</t>
        </is>
      </c>
      <c r="H15" s="27" t="inlineStr">
        <is>
          <t>Withdrawal</t>
        </is>
      </c>
    </row>
    <row r="16">
      <c r="A16" s="27" t="inlineStr">
        <is>
          <t>Trend ETF</t>
        </is>
      </c>
      <c r="B16" s="73" t="n">
        <v>0.24</v>
      </c>
      <c r="C16" s="2" t="inlineStr">
        <is>
          <t>Example: 80 % risky assets split 70/30 value/trend, 20 % cash (IPS).</t>
        </is>
      </c>
      <c r="E16" s="27" t="inlineStr">
        <is>
          <t>Commodity</t>
        </is>
      </c>
      <c r="F16" s="27" t="inlineStr">
        <is>
          <t>Europe</t>
        </is>
      </c>
      <c r="G16" s="27" t="inlineStr">
        <is>
          <t>GBP</t>
        </is>
      </c>
      <c r="H16" s="27" t="inlineStr">
        <is>
          <t>Buy</t>
        </is>
      </c>
    </row>
    <row r="17">
      <c r="A17" s="27" t="inlineStr">
        <is>
          <t>Cash &amp; money market</t>
        </is>
      </c>
      <c r="B17" s="73" t="n">
        <v>0.2</v>
      </c>
      <c r="C17" s="2" t="inlineStr">
        <is>
          <t>Example: 80 % risky assets split 70/30 value/trend, 20 % cash (IPS).</t>
        </is>
      </c>
      <c r="E17" s="27" t="inlineStr">
        <is>
          <t>Money market</t>
        </is>
      </c>
      <c r="F17" s="27" t="inlineStr">
        <is>
          <t>Asia-Pacific</t>
        </is>
      </c>
      <c r="G17" s="27" t="inlineStr">
        <is>
          <t>CHF</t>
        </is>
      </c>
      <c r="H17" s="27" t="inlineStr">
        <is>
          <t>Sell</t>
        </is>
      </c>
    </row>
    <row r="18">
      <c r="A18" s="37" t="inlineStr">
        <is>
          <t>Total</t>
        </is>
      </c>
      <c r="B18" s="39">
        <f>SUM(B15:B17)</f>
        <v/>
      </c>
      <c r="C18" s="2">
        <f>IF(ABS(B18-1)&gt;0.0001,"Targets must add up to 100 %","OK")</f>
        <v/>
      </c>
      <c r="E18" s="27" t="inlineStr">
        <is>
          <t>Other</t>
        </is>
      </c>
      <c r="F18" s="27" t="inlineStr">
        <is>
          <t>Emerging markets</t>
        </is>
      </c>
      <c r="G18" s="27" t="inlineStr">
        <is>
          <t>JPY</t>
        </is>
      </c>
      <c r="H18" s="27" t="inlineStr">
        <is>
          <t>Dividend</t>
        </is>
      </c>
    </row>
    <row r="19">
      <c r="F19" s="27" t="inlineStr">
        <is>
          <t>Other</t>
        </is>
      </c>
      <c r="G19" s="27" t="inlineStr">
        <is>
          <t>Other</t>
        </is>
      </c>
      <c r="H19" s="27" t="inlineStr">
        <is>
          <t>Fee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83"/>
  <sheetViews>
    <sheetView workbookViewId="0">
      <selection activeCell="A1" sqref="A1"/>
    </sheetView>
  </sheetViews>
  <sheetFormatPr baseColWidth="8" defaultRowHeight="15"/>
  <sheetData>
    <row r="1">
      <c r="A1" t="inlineStr">
        <is>
          <t>Helper for charts: #N/A hides empty months in line charts. Do not edit.</t>
        </is>
      </c>
    </row>
    <row r="3" ht="32" customHeight="1">
      <c r="A3" s="16" t="inlineStr">
        <is>
          <t>Month end</t>
        </is>
      </c>
      <c r="B3" s="16" t="inlineStr">
        <is>
          <t>Portfolio</t>
        </is>
      </c>
      <c r="C3" s="16" t="inlineStr">
        <is>
          <t>Benchmark</t>
        </is>
      </c>
      <c r="D3" s="16" t="inlineStr">
        <is>
          <t>Drawdown</t>
        </is>
      </c>
      <c r="E3" s="16" t="inlineStr">
        <is>
          <t>Bench. drawdown</t>
        </is>
      </c>
      <c r="F3" s="16" t="inlineStr">
        <is>
          <t>Monthly return</t>
        </is>
      </c>
      <c r="H3" t="inlineStr">
        <is>
          <t>Top holdings</t>
        </is>
      </c>
      <c r="I3" t="inlineStr">
        <is>
          <t>Weight</t>
        </is>
      </c>
      <c r="K3" t="inlineStr">
        <is>
          <t>Last 24 months</t>
        </is>
      </c>
      <c r="L3" t="inlineStr">
        <is>
          <t>Return</t>
        </is>
      </c>
    </row>
    <row r="4">
      <c r="A4" s="75">
        <f>IF(History!A6="",NA(),History!A6)</f>
        <v/>
      </c>
      <c r="B4" s="76">
        <f>IF(History!K6="",NA(),History!K6)</f>
        <v/>
      </c>
      <c r="C4" s="76">
        <f>IF(History!L6="",NA(),History!L6)</f>
        <v/>
      </c>
      <c r="D4" s="77">
        <f>IF(History!M6="",NA(),History!M6)</f>
        <v/>
      </c>
      <c r="E4" s="77">
        <f>IF(History!N6="",NA(),History!N6)</f>
        <v/>
      </c>
      <c r="F4" s="77">
        <f>IF(History!D6="",NA(),History!D6)</f>
        <v/>
      </c>
      <c r="H4">
        <f>IFERROR(INDEX(Holdings!$A$8:$A$47,MATCH(I4,Holdings!$L$8:$L$47,0)),"")</f>
        <v/>
      </c>
      <c r="I4" s="77">
        <f>IFERROR(LARGE(Holdings!$L$8:$L$47,1),NA())</f>
        <v/>
      </c>
      <c r="K4">
        <f>IF((IFERROR(MATCH(9.99E+307,History!$A$6:$A$185),0)-24+1)&lt;1,"",TEXT(INDEX(History!$A$6:$A$185,(IFERROR(MATCH(9.99E+307,History!$A$6:$A$185),0)-24+1)),"mmm yy"))</f>
        <v/>
      </c>
      <c r="L4" s="77">
        <f>IF((IFERROR(MATCH(9.99E+307,History!$A$6:$A$185),0)-24+1)&lt;1,NA(),IF(INDEX(History!$D$6:$D$185,(IFERROR(MATCH(9.99E+307,History!$A$6:$A$185),0)-24+1))="",NA(),INDEX(History!$D$6:$D$185,(IFERROR(MATCH(9.99E+307,History!$A$6:$A$185),0)-24+1))))</f>
        <v/>
      </c>
    </row>
    <row r="5">
      <c r="A5" s="75">
        <f>IF(History!A7="",NA(),History!A7)</f>
        <v/>
      </c>
      <c r="B5" s="76">
        <f>IF(History!K7="",NA(),History!K7)</f>
        <v/>
      </c>
      <c r="C5" s="76">
        <f>IF(History!L7="",NA(),History!L7)</f>
        <v/>
      </c>
      <c r="D5" s="77">
        <f>IF(History!M7="",NA(),History!M7)</f>
        <v/>
      </c>
      <c r="E5" s="77">
        <f>IF(History!N7="",NA(),History!N7)</f>
        <v/>
      </c>
      <c r="F5" s="77">
        <f>IF(History!D7="",NA(),History!D7)</f>
        <v/>
      </c>
      <c r="H5">
        <f>IFERROR(INDEX(Holdings!$A$8:$A$47,MATCH(I5,Holdings!$L$8:$L$47,0)),"")</f>
        <v/>
      </c>
      <c r="I5" s="77">
        <f>IFERROR(LARGE(Holdings!$L$8:$L$47,2),NA())</f>
        <v/>
      </c>
      <c r="K5">
        <f>IF((IFERROR(MATCH(9.99E+307,History!$A$6:$A$185),0)-24+2)&lt;1,"",TEXT(INDEX(History!$A$6:$A$185,(IFERROR(MATCH(9.99E+307,History!$A$6:$A$185),0)-24+2)),"mmm yy"))</f>
        <v/>
      </c>
      <c r="L5" s="77">
        <f>IF((IFERROR(MATCH(9.99E+307,History!$A$6:$A$185),0)-24+2)&lt;1,NA(),IF(INDEX(History!$D$6:$D$185,(IFERROR(MATCH(9.99E+307,History!$A$6:$A$185),0)-24+2))="",NA(),INDEX(History!$D$6:$D$185,(IFERROR(MATCH(9.99E+307,History!$A$6:$A$185),0)-24+2))))</f>
        <v/>
      </c>
    </row>
    <row r="6">
      <c r="A6" s="75">
        <f>IF(History!A8="",NA(),History!A8)</f>
        <v/>
      </c>
      <c r="B6" s="76">
        <f>IF(History!K8="",NA(),History!K8)</f>
        <v/>
      </c>
      <c r="C6" s="76">
        <f>IF(History!L8="",NA(),History!L8)</f>
        <v/>
      </c>
      <c r="D6" s="77">
        <f>IF(History!M8="",NA(),History!M8)</f>
        <v/>
      </c>
      <c r="E6" s="77">
        <f>IF(History!N8="",NA(),History!N8)</f>
        <v/>
      </c>
      <c r="F6" s="77">
        <f>IF(History!D8="",NA(),History!D8)</f>
        <v/>
      </c>
      <c r="H6">
        <f>IFERROR(INDEX(Holdings!$A$8:$A$47,MATCH(I6,Holdings!$L$8:$L$47,0)),"")</f>
        <v/>
      </c>
      <c r="I6" s="77">
        <f>IFERROR(LARGE(Holdings!$L$8:$L$47,3),NA())</f>
        <v/>
      </c>
      <c r="K6">
        <f>IF((IFERROR(MATCH(9.99E+307,History!$A$6:$A$185),0)-24+3)&lt;1,"",TEXT(INDEX(History!$A$6:$A$185,(IFERROR(MATCH(9.99E+307,History!$A$6:$A$185),0)-24+3)),"mmm yy"))</f>
        <v/>
      </c>
      <c r="L6" s="77">
        <f>IF((IFERROR(MATCH(9.99E+307,History!$A$6:$A$185),0)-24+3)&lt;1,NA(),IF(INDEX(History!$D$6:$D$185,(IFERROR(MATCH(9.99E+307,History!$A$6:$A$185),0)-24+3))="",NA(),INDEX(History!$D$6:$D$185,(IFERROR(MATCH(9.99E+307,History!$A$6:$A$185),0)-24+3))))</f>
        <v/>
      </c>
    </row>
    <row r="7">
      <c r="A7" s="75">
        <f>IF(History!A9="",NA(),History!A9)</f>
        <v/>
      </c>
      <c r="B7" s="76">
        <f>IF(History!K9="",NA(),History!K9)</f>
        <v/>
      </c>
      <c r="C7" s="76">
        <f>IF(History!L9="",NA(),History!L9)</f>
        <v/>
      </c>
      <c r="D7" s="77">
        <f>IF(History!M9="",NA(),History!M9)</f>
        <v/>
      </c>
      <c r="E7" s="77">
        <f>IF(History!N9="",NA(),History!N9)</f>
        <v/>
      </c>
      <c r="F7" s="77">
        <f>IF(History!D9="",NA(),History!D9)</f>
        <v/>
      </c>
      <c r="H7">
        <f>IFERROR(INDEX(Holdings!$A$8:$A$47,MATCH(I7,Holdings!$L$8:$L$47,0)),"")</f>
        <v/>
      </c>
      <c r="I7" s="77">
        <f>IFERROR(LARGE(Holdings!$L$8:$L$47,4),NA())</f>
        <v/>
      </c>
      <c r="K7">
        <f>IF((IFERROR(MATCH(9.99E+307,History!$A$6:$A$185),0)-24+4)&lt;1,"",TEXT(INDEX(History!$A$6:$A$185,(IFERROR(MATCH(9.99E+307,History!$A$6:$A$185),0)-24+4)),"mmm yy"))</f>
        <v/>
      </c>
      <c r="L7" s="77">
        <f>IF((IFERROR(MATCH(9.99E+307,History!$A$6:$A$185),0)-24+4)&lt;1,NA(),IF(INDEX(History!$D$6:$D$185,(IFERROR(MATCH(9.99E+307,History!$A$6:$A$185),0)-24+4))="",NA(),INDEX(History!$D$6:$D$185,(IFERROR(MATCH(9.99E+307,History!$A$6:$A$185),0)-24+4))))</f>
        <v/>
      </c>
    </row>
    <row r="8">
      <c r="A8" s="75">
        <f>IF(History!A10="",NA(),History!A10)</f>
        <v/>
      </c>
      <c r="B8" s="76">
        <f>IF(History!K10="",NA(),History!K10)</f>
        <v/>
      </c>
      <c r="C8" s="76">
        <f>IF(History!L10="",NA(),History!L10)</f>
        <v/>
      </c>
      <c r="D8" s="77">
        <f>IF(History!M10="",NA(),History!M10)</f>
        <v/>
      </c>
      <c r="E8" s="77">
        <f>IF(History!N10="",NA(),History!N10)</f>
        <v/>
      </c>
      <c r="F8" s="77">
        <f>IF(History!D10="",NA(),History!D10)</f>
        <v/>
      </c>
      <c r="H8">
        <f>IFERROR(INDEX(Holdings!$A$8:$A$47,MATCH(I8,Holdings!$L$8:$L$47,0)),"")</f>
        <v/>
      </c>
      <c r="I8" s="77">
        <f>IFERROR(LARGE(Holdings!$L$8:$L$47,5),NA())</f>
        <v/>
      </c>
      <c r="K8">
        <f>IF((IFERROR(MATCH(9.99E+307,History!$A$6:$A$185),0)-24+5)&lt;1,"",TEXT(INDEX(History!$A$6:$A$185,(IFERROR(MATCH(9.99E+307,History!$A$6:$A$185),0)-24+5)),"mmm yy"))</f>
        <v/>
      </c>
      <c r="L8" s="77">
        <f>IF((IFERROR(MATCH(9.99E+307,History!$A$6:$A$185),0)-24+5)&lt;1,NA(),IF(INDEX(History!$D$6:$D$185,(IFERROR(MATCH(9.99E+307,History!$A$6:$A$185),0)-24+5))="",NA(),INDEX(History!$D$6:$D$185,(IFERROR(MATCH(9.99E+307,History!$A$6:$A$185),0)-24+5))))</f>
        <v/>
      </c>
    </row>
    <row r="9">
      <c r="A9" s="75">
        <f>IF(History!A11="",NA(),History!A11)</f>
        <v/>
      </c>
      <c r="B9" s="76">
        <f>IF(History!K11="",NA(),History!K11)</f>
        <v/>
      </c>
      <c r="C9" s="76">
        <f>IF(History!L11="",NA(),History!L11)</f>
        <v/>
      </c>
      <c r="D9" s="77">
        <f>IF(History!M11="",NA(),History!M11)</f>
        <v/>
      </c>
      <c r="E9" s="77">
        <f>IF(History!N11="",NA(),History!N11)</f>
        <v/>
      </c>
      <c r="F9" s="77">
        <f>IF(History!D11="",NA(),History!D11)</f>
        <v/>
      </c>
      <c r="H9">
        <f>IFERROR(INDEX(Holdings!$A$8:$A$47,MATCH(I9,Holdings!$L$8:$L$47,0)),"")</f>
        <v/>
      </c>
      <c r="I9" s="77">
        <f>IFERROR(LARGE(Holdings!$L$8:$L$47,6),NA())</f>
        <v/>
      </c>
      <c r="K9">
        <f>IF((IFERROR(MATCH(9.99E+307,History!$A$6:$A$185),0)-24+6)&lt;1,"",TEXT(INDEX(History!$A$6:$A$185,(IFERROR(MATCH(9.99E+307,History!$A$6:$A$185),0)-24+6)),"mmm yy"))</f>
        <v/>
      </c>
      <c r="L9" s="77">
        <f>IF((IFERROR(MATCH(9.99E+307,History!$A$6:$A$185),0)-24+6)&lt;1,NA(),IF(INDEX(History!$D$6:$D$185,(IFERROR(MATCH(9.99E+307,History!$A$6:$A$185),0)-24+6))="",NA(),INDEX(History!$D$6:$D$185,(IFERROR(MATCH(9.99E+307,History!$A$6:$A$185),0)-24+6))))</f>
        <v/>
      </c>
    </row>
    <row r="10">
      <c r="A10" s="75">
        <f>IF(History!A12="",NA(),History!A12)</f>
        <v/>
      </c>
      <c r="B10" s="76">
        <f>IF(History!K12="",NA(),History!K12)</f>
        <v/>
      </c>
      <c r="C10" s="76">
        <f>IF(History!L12="",NA(),History!L12)</f>
        <v/>
      </c>
      <c r="D10" s="77">
        <f>IF(History!M12="",NA(),History!M12)</f>
        <v/>
      </c>
      <c r="E10" s="77">
        <f>IF(History!N12="",NA(),History!N12)</f>
        <v/>
      </c>
      <c r="F10" s="77">
        <f>IF(History!D12="",NA(),History!D12)</f>
        <v/>
      </c>
      <c r="H10">
        <f>IFERROR(INDEX(Holdings!$A$8:$A$47,MATCH(I10,Holdings!$L$8:$L$47,0)),"")</f>
        <v/>
      </c>
      <c r="I10" s="77">
        <f>IFERROR(LARGE(Holdings!$L$8:$L$47,7),NA())</f>
        <v/>
      </c>
      <c r="K10">
        <f>IF((IFERROR(MATCH(9.99E+307,History!$A$6:$A$185),0)-24+7)&lt;1,"",TEXT(INDEX(History!$A$6:$A$185,(IFERROR(MATCH(9.99E+307,History!$A$6:$A$185),0)-24+7)),"mmm yy"))</f>
        <v/>
      </c>
      <c r="L10" s="77">
        <f>IF((IFERROR(MATCH(9.99E+307,History!$A$6:$A$185),0)-24+7)&lt;1,NA(),IF(INDEX(History!$D$6:$D$185,(IFERROR(MATCH(9.99E+307,History!$A$6:$A$185),0)-24+7))="",NA(),INDEX(History!$D$6:$D$185,(IFERROR(MATCH(9.99E+307,History!$A$6:$A$185),0)-24+7))))</f>
        <v/>
      </c>
    </row>
    <row r="11">
      <c r="A11" s="75">
        <f>IF(History!A13="",NA(),History!A13)</f>
        <v/>
      </c>
      <c r="B11" s="76">
        <f>IF(History!K13="",NA(),History!K13)</f>
        <v/>
      </c>
      <c r="C11" s="76">
        <f>IF(History!L13="",NA(),History!L13)</f>
        <v/>
      </c>
      <c r="D11" s="77">
        <f>IF(History!M13="",NA(),History!M13)</f>
        <v/>
      </c>
      <c r="E11" s="77">
        <f>IF(History!N13="",NA(),History!N13)</f>
        <v/>
      </c>
      <c r="F11" s="77">
        <f>IF(History!D13="",NA(),History!D13)</f>
        <v/>
      </c>
      <c r="H11">
        <f>IFERROR(INDEX(Holdings!$A$8:$A$47,MATCH(I11,Holdings!$L$8:$L$47,0)),"")</f>
        <v/>
      </c>
      <c r="I11" s="77">
        <f>IFERROR(LARGE(Holdings!$L$8:$L$47,8),NA())</f>
        <v/>
      </c>
      <c r="K11">
        <f>IF((IFERROR(MATCH(9.99E+307,History!$A$6:$A$185),0)-24+8)&lt;1,"",TEXT(INDEX(History!$A$6:$A$185,(IFERROR(MATCH(9.99E+307,History!$A$6:$A$185),0)-24+8)),"mmm yy"))</f>
        <v/>
      </c>
      <c r="L11" s="77">
        <f>IF((IFERROR(MATCH(9.99E+307,History!$A$6:$A$185),0)-24+8)&lt;1,NA(),IF(INDEX(History!$D$6:$D$185,(IFERROR(MATCH(9.99E+307,History!$A$6:$A$185),0)-24+8))="",NA(),INDEX(History!$D$6:$D$185,(IFERROR(MATCH(9.99E+307,History!$A$6:$A$185),0)-24+8))))</f>
        <v/>
      </c>
    </row>
    <row r="12">
      <c r="A12" s="75">
        <f>IF(History!A14="",NA(),History!A14)</f>
        <v/>
      </c>
      <c r="B12" s="76">
        <f>IF(History!K14="",NA(),History!K14)</f>
        <v/>
      </c>
      <c r="C12" s="76">
        <f>IF(History!L14="",NA(),History!L14)</f>
        <v/>
      </c>
      <c r="D12" s="77">
        <f>IF(History!M14="",NA(),History!M14)</f>
        <v/>
      </c>
      <c r="E12" s="77">
        <f>IF(History!N14="",NA(),History!N14)</f>
        <v/>
      </c>
      <c r="F12" s="77">
        <f>IF(History!D14="",NA(),History!D14)</f>
        <v/>
      </c>
      <c r="H12">
        <f>IFERROR(INDEX(Holdings!$A$8:$A$47,MATCH(I12,Holdings!$L$8:$L$47,0)),"")</f>
        <v/>
      </c>
      <c r="I12" s="77">
        <f>IFERROR(LARGE(Holdings!$L$8:$L$47,9),NA())</f>
        <v/>
      </c>
      <c r="K12">
        <f>IF((IFERROR(MATCH(9.99E+307,History!$A$6:$A$185),0)-24+9)&lt;1,"",TEXT(INDEX(History!$A$6:$A$185,(IFERROR(MATCH(9.99E+307,History!$A$6:$A$185),0)-24+9)),"mmm yy"))</f>
        <v/>
      </c>
      <c r="L12" s="77">
        <f>IF((IFERROR(MATCH(9.99E+307,History!$A$6:$A$185),0)-24+9)&lt;1,NA(),IF(INDEX(History!$D$6:$D$185,(IFERROR(MATCH(9.99E+307,History!$A$6:$A$185),0)-24+9))="",NA(),INDEX(History!$D$6:$D$185,(IFERROR(MATCH(9.99E+307,History!$A$6:$A$185),0)-24+9))))</f>
        <v/>
      </c>
    </row>
    <row r="13">
      <c r="A13" s="75">
        <f>IF(History!A15="",NA(),History!A15)</f>
        <v/>
      </c>
      <c r="B13" s="76">
        <f>IF(History!K15="",NA(),History!K15)</f>
        <v/>
      </c>
      <c r="C13" s="76">
        <f>IF(History!L15="",NA(),History!L15)</f>
        <v/>
      </c>
      <c r="D13" s="77">
        <f>IF(History!M15="",NA(),History!M15)</f>
        <v/>
      </c>
      <c r="E13" s="77">
        <f>IF(History!N15="",NA(),History!N15)</f>
        <v/>
      </c>
      <c r="F13" s="77">
        <f>IF(History!D15="",NA(),History!D15)</f>
        <v/>
      </c>
      <c r="H13">
        <f>IFERROR(INDEX(Holdings!$A$8:$A$47,MATCH(I13,Holdings!$L$8:$L$47,0)),"")</f>
        <v/>
      </c>
      <c r="I13" s="77">
        <f>IFERROR(LARGE(Holdings!$L$8:$L$47,10),NA())</f>
        <v/>
      </c>
      <c r="K13">
        <f>IF((IFERROR(MATCH(9.99E+307,History!$A$6:$A$185),0)-24+10)&lt;1,"",TEXT(INDEX(History!$A$6:$A$185,(IFERROR(MATCH(9.99E+307,History!$A$6:$A$185),0)-24+10)),"mmm yy"))</f>
        <v/>
      </c>
      <c r="L13" s="77">
        <f>IF((IFERROR(MATCH(9.99E+307,History!$A$6:$A$185),0)-24+10)&lt;1,NA(),IF(INDEX(History!$D$6:$D$185,(IFERROR(MATCH(9.99E+307,History!$A$6:$A$185),0)-24+10))="",NA(),INDEX(History!$D$6:$D$185,(IFERROR(MATCH(9.99E+307,History!$A$6:$A$185),0)-24+10))))</f>
        <v/>
      </c>
    </row>
    <row r="14">
      <c r="A14" s="75">
        <f>IF(History!A16="",NA(),History!A16)</f>
        <v/>
      </c>
      <c r="B14" s="76">
        <f>IF(History!K16="",NA(),History!K16)</f>
        <v/>
      </c>
      <c r="C14" s="76">
        <f>IF(History!L16="",NA(),History!L16)</f>
        <v/>
      </c>
      <c r="D14" s="77">
        <f>IF(History!M16="",NA(),History!M16)</f>
        <v/>
      </c>
      <c r="E14" s="77">
        <f>IF(History!N16="",NA(),History!N16)</f>
        <v/>
      </c>
      <c r="F14" s="77">
        <f>IF(History!D16="",NA(),History!D16)</f>
        <v/>
      </c>
      <c r="K14">
        <f>IF((IFERROR(MATCH(9.99E+307,History!$A$6:$A$185),0)-24+11)&lt;1,"",TEXT(INDEX(History!$A$6:$A$185,(IFERROR(MATCH(9.99E+307,History!$A$6:$A$185),0)-24+11)),"mmm yy"))</f>
        <v/>
      </c>
      <c r="L14" s="77">
        <f>IF((IFERROR(MATCH(9.99E+307,History!$A$6:$A$185),0)-24+11)&lt;1,NA(),IF(INDEX(History!$D$6:$D$185,(IFERROR(MATCH(9.99E+307,History!$A$6:$A$185),0)-24+11))="",NA(),INDEX(History!$D$6:$D$185,(IFERROR(MATCH(9.99E+307,History!$A$6:$A$185),0)-24+11))))</f>
        <v/>
      </c>
    </row>
    <row r="15">
      <c r="A15" s="75">
        <f>IF(History!A17="",NA(),History!A17)</f>
        <v/>
      </c>
      <c r="B15" s="76">
        <f>IF(History!K17="",NA(),History!K17)</f>
        <v/>
      </c>
      <c r="C15" s="76">
        <f>IF(History!L17="",NA(),History!L17)</f>
        <v/>
      </c>
      <c r="D15" s="77">
        <f>IF(History!M17="",NA(),History!M17)</f>
        <v/>
      </c>
      <c r="E15" s="77">
        <f>IF(History!N17="",NA(),History!N17)</f>
        <v/>
      </c>
      <c r="F15" s="77">
        <f>IF(History!D17="",NA(),History!D17)</f>
        <v/>
      </c>
      <c r="K15">
        <f>IF((IFERROR(MATCH(9.99E+307,History!$A$6:$A$185),0)-24+12)&lt;1,"",TEXT(INDEX(History!$A$6:$A$185,(IFERROR(MATCH(9.99E+307,History!$A$6:$A$185),0)-24+12)),"mmm yy"))</f>
        <v/>
      </c>
      <c r="L15" s="77">
        <f>IF((IFERROR(MATCH(9.99E+307,History!$A$6:$A$185),0)-24+12)&lt;1,NA(),IF(INDEX(History!$D$6:$D$185,(IFERROR(MATCH(9.99E+307,History!$A$6:$A$185),0)-24+12))="",NA(),INDEX(History!$D$6:$D$185,(IFERROR(MATCH(9.99E+307,History!$A$6:$A$185),0)-24+12))))</f>
        <v/>
      </c>
    </row>
    <row r="16">
      <c r="A16" s="75">
        <f>IF(History!A18="",NA(),History!A18)</f>
        <v/>
      </c>
      <c r="B16" s="76">
        <f>IF(History!K18="",NA(),History!K18)</f>
        <v/>
      </c>
      <c r="C16" s="76">
        <f>IF(History!L18="",NA(),History!L18)</f>
        <v/>
      </c>
      <c r="D16" s="77">
        <f>IF(History!M18="",NA(),History!M18)</f>
        <v/>
      </c>
      <c r="E16" s="77">
        <f>IF(History!N18="",NA(),History!N18)</f>
        <v/>
      </c>
      <c r="F16" s="77">
        <f>IF(History!D18="",NA(),History!D18)</f>
        <v/>
      </c>
      <c r="K16">
        <f>IF((IFERROR(MATCH(9.99E+307,History!$A$6:$A$185),0)-24+13)&lt;1,"",TEXT(INDEX(History!$A$6:$A$185,(IFERROR(MATCH(9.99E+307,History!$A$6:$A$185),0)-24+13)),"mmm yy"))</f>
        <v/>
      </c>
      <c r="L16" s="77">
        <f>IF((IFERROR(MATCH(9.99E+307,History!$A$6:$A$185),0)-24+13)&lt;1,NA(),IF(INDEX(History!$D$6:$D$185,(IFERROR(MATCH(9.99E+307,History!$A$6:$A$185),0)-24+13))="",NA(),INDEX(History!$D$6:$D$185,(IFERROR(MATCH(9.99E+307,History!$A$6:$A$185),0)-24+13))))</f>
        <v/>
      </c>
    </row>
    <row r="17">
      <c r="A17" s="75">
        <f>IF(History!A19="",NA(),History!A19)</f>
        <v/>
      </c>
      <c r="B17" s="76">
        <f>IF(History!K19="",NA(),History!K19)</f>
        <v/>
      </c>
      <c r="C17" s="76">
        <f>IF(History!L19="",NA(),History!L19)</f>
        <v/>
      </c>
      <c r="D17" s="77">
        <f>IF(History!M19="",NA(),History!M19)</f>
        <v/>
      </c>
      <c r="E17" s="77">
        <f>IF(History!N19="",NA(),History!N19)</f>
        <v/>
      </c>
      <c r="F17" s="77">
        <f>IF(History!D19="",NA(),History!D19)</f>
        <v/>
      </c>
      <c r="K17">
        <f>IF((IFERROR(MATCH(9.99E+307,History!$A$6:$A$185),0)-24+14)&lt;1,"",TEXT(INDEX(History!$A$6:$A$185,(IFERROR(MATCH(9.99E+307,History!$A$6:$A$185),0)-24+14)),"mmm yy"))</f>
        <v/>
      </c>
      <c r="L17" s="77">
        <f>IF((IFERROR(MATCH(9.99E+307,History!$A$6:$A$185),0)-24+14)&lt;1,NA(),IF(INDEX(History!$D$6:$D$185,(IFERROR(MATCH(9.99E+307,History!$A$6:$A$185),0)-24+14))="",NA(),INDEX(History!$D$6:$D$185,(IFERROR(MATCH(9.99E+307,History!$A$6:$A$185),0)-24+14))))</f>
        <v/>
      </c>
    </row>
    <row r="18">
      <c r="A18" s="75">
        <f>IF(History!A20="",NA(),History!A20)</f>
        <v/>
      </c>
      <c r="B18" s="76">
        <f>IF(History!K20="",NA(),History!K20)</f>
        <v/>
      </c>
      <c r="C18" s="76">
        <f>IF(History!L20="",NA(),History!L20)</f>
        <v/>
      </c>
      <c r="D18" s="77">
        <f>IF(History!M20="",NA(),History!M20)</f>
        <v/>
      </c>
      <c r="E18" s="77">
        <f>IF(History!N20="",NA(),History!N20)</f>
        <v/>
      </c>
      <c r="F18" s="77">
        <f>IF(History!D20="",NA(),History!D20)</f>
        <v/>
      </c>
      <c r="K18">
        <f>IF((IFERROR(MATCH(9.99E+307,History!$A$6:$A$185),0)-24+15)&lt;1,"",TEXT(INDEX(History!$A$6:$A$185,(IFERROR(MATCH(9.99E+307,History!$A$6:$A$185),0)-24+15)),"mmm yy"))</f>
        <v/>
      </c>
      <c r="L18" s="77">
        <f>IF((IFERROR(MATCH(9.99E+307,History!$A$6:$A$185),0)-24+15)&lt;1,NA(),IF(INDEX(History!$D$6:$D$185,(IFERROR(MATCH(9.99E+307,History!$A$6:$A$185),0)-24+15))="",NA(),INDEX(History!$D$6:$D$185,(IFERROR(MATCH(9.99E+307,History!$A$6:$A$185),0)-24+15))))</f>
        <v/>
      </c>
    </row>
    <row r="19">
      <c r="A19" s="75">
        <f>IF(History!A21="",NA(),History!A21)</f>
        <v/>
      </c>
      <c r="B19" s="76">
        <f>IF(History!K21="",NA(),History!K21)</f>
        <v/>
      </c>
      <c r="C19" s="76">
        <f>IF(History!L21="",NA(),History!L21)</f>
        <v/>
      </c>
      <c r="D19" s="77">
        <f>IF(History!M21="",NA(),History!M21)</f>
        <v/>
      </c>
      <c r="E19" s="77">
        <f>IF(History!N21="",NA(),History!N21)</f>
        <v/>
      </c>
      <c r="F19" s="77">
        <f>IF(History!D21="",NA(),History!D21)</f>
        <v/>
      </c>
      <c r="K19">
        <f>IF((IFERROR(MATCH(9.99E+307,History!$A$6:$A$185),0)-24+16)&lt;1,"",TEXT(INDEX(History!$A$6:$A$185,(IFERROR(MATCH(9.99E+307,History!$A$6:$A$185),0)-24+16)),"mmm yy"))</f>
        <v/>
      </c>
      <c r="L19" s="77">
        <f>IF((IFERROR(MATCH(9.99E+307,History!$A$6:$A$185),0)-24+16)&lt;1,NA(),IF(INDEX(History!$D$6:$D$185,(IFERROR(MATCH(9.99E+307,History!$A$6:$A$185),0)-24+16))="",NA(),INDEX(History!$D$6:$D$185,(IFERROR(MATCH(9.99E+307,History!$A$6:$A$185),0)-24+16))))</f>
        <v/>
      </c>
    </row>
    <row r="20">
      <c r="A20" s="75">
        <f>IF(History!A22="",NA(),History!A22)</f>
        <v/>
      </c>
      <c r="B20" s="76">
        <f>IF(History!K22="",NA(),History!K22)</f>
        <v/>
      </c>
      <c r="C20" s="76">
        <f>IF(History!L22="",NA(),History!L22)</f>
        <v/>
      </c>
      <c r="D20" s="77">
        <f>IF(History!M22="",NA(),History!M22)</f>
        <v/>
      </c>
      <c r="E20" s="77">
        <f>IF(History!N22="",NA(),History!N22)</f>
        <v/>
      </c>
      <c r="F20" s="77">
        <f>IF(History!D22="",NA(),History!D22)</f>
        <v/>
      </c>
      <c r="K20">
        <f>IF((IFERROR(MATCH(9.99E+307,History!$A$6:$A$185),0)-24+17)&lt;1,"",TEXT(INDEX(History!$A$6:$A$185,(IFERROR(MATCH(9.99E+307,History!$A$6:$A$185),0)-24+17)),"mmm yy"))</f>
        <v/>
      </c>
      <c r="L20" s="77">
        <f>IF((IFERROR(MATCH(9.99E+307,History!$A$6:$A$185),0)-24+17)&lt;1,NA(),IF(INDEX(History!$D$6:$D$185,(IFERROR(MATCH(9.99E+307,History!$A$6:$A$185),0)-24+17))="",NA(),INDEX(History!$D$6:$D$185,(IFERROR(MATCH(9.99E+307,History!$A$6:$A$185),0)-24+17))))</f>
        <v/>
      </c>
    </row>
    <row r="21">
      <c r="A21" s="75">
        <f>IF(History!A23="",NA(),History!A23)</f>
        <v/>
      </c>
      <c r="B21" s="76">
        <f>IF(History!K23="",NA(),History!K23)</f>
        <v/>
      </c>
      <c r="C21" s="76">
        <f>IF(History!L23="",NA(),History!L23)</f>
        <v/>
      </c>
      <c r="D21" s="77">
        <f>IF(History!M23="",NA(),History!M23)</f>
        <v/>
      </c>
      <c r="E21" s="77">
        <f>IF(History!N23="",NA(),History!N23)</f>
        <v/>
      </c>
      <c r="F21" s="77">
        <f>IF(History!D23="",NA(),History!D23)</f>
        <v/>
      </c>
      <c r="K21">
        <f>IF((IFERROR(MATCH(9.99E+307,History!$A$6:$A$185),0)-24+18)&lt;1,"",TEXT(INDEX(History!$A$6:$A$185,(IFERROR(MATCH(9.99E+307,History!$A$6:$A$185),0)-24+18)),"mmm yy"))</f>
        <v/>
      </c>
      <c r="L21" s="77">
        <f>IF((IFERROR(MATCH(9.99E+307,History!$A$6:$A$185),0)-24+18)&lt;1,NA(),IF(INDEX(History!$D$6:$D$185,(IFERROR(MATCH(9.99E+307,History!$A$6:$A$185),0)-24+18))="",NA(),INDEX(History!$D$6:$D$185,(IFERROR(MATCH(9.99E+307,History!$A$6:$A$185),0)-24+18))))</f>
        <v/>
      </c>
    </row>
    <row r="22">
      <c r="A22" s="75">
        <f>IF(History!A24="",NA(),History!A24)</f>
        <v/>
      </c>
      <c r="B22" s="76">
        <f>IF(History!K24="",NA(),History!K24)</f>
        <v/>
      </c>
      <c r="C22" s="76">
        <f>IF(History!L24="",NA(),History!L24)</f>
        <v/>
      </c>
      <c r="D22" s="77">
        <f>IF(History!M24="",NA(),History!M24)</f>
        <v/>
      </c>
      <c r="E22" s="77">
        <f>IF(History!N24="",NA(),History!N24)</f>
        <v/>
      </c>
      <c r="F22" s="77">
        <f>IF(History!D24="",NA(),History!D24)</f>
        <v/>
      </c>
      <c r="K22">
        <f>IF((IFERROR(MATCH(9.99E+307,History!$A$6:$A$185),0)-24+19)&lt;1,"",TEXT(INDEX(History!$A$6:$A$185,(IFERROR(MATCH(9.99E+307,History!$A$6:$A$185),0)-24+19)),"mmm yy"))</f>
        <v/>
      </c>
      <c r="L22" s="77">
        <f>IF((IFERROR(MATCH(9.99E+307,History!$A$6:$A$185),0)-24+19)&lt;1,NA(),IF(INDEX(History!$D$6:$D$185,(IFERROR(MATCH(9.99E+307,History!$A$6:$A$185),0)-24+19))="",NA(),INDEX(History!$D$6:$D$185,(IFERROR(MATCH(9.99E+307,History!$A$6:$A$185),0)-24+19))))</f>
        <v/>
      </c>
    </row>
    <row r="23">
      <c r="A23" s="75">
        <f>IF(History!A25="",NA(),History!A25)</f>
        <v/>
      </c>
      <c r="B23" s="76">
        <f>IF(History!K25="",NA(),History!K25)</f>
        <v/>
      </c>
      <c r="C23" s="76">
        <f>IF(History!L25="",NA(),History!L25)</f>
        <v/>
      </c>
      <c r="D23" s="77">
        <f>IF(History!M25="",NA(),History!M25)</f>
        <v/>
      </c>
      <c r="E23" s="77">
        <f>IF(History!N25="",NA(),History!N25)</f>
        <v/>
      </c>
      <c r="F23" s="77">
        <f>IF(History!D25="",NA(),History!D25)</f>
        <v/>
      </c>
      <c r="K23">
        <f>IF((IFERROR(MATCH(9.99E+307,History!$A$6:$A$185),0)-24+20)&lt;1,"",TEXT(INDEX(History!$A$6:$A$185,(IFERROR(MATCH(9.99E+307,History!$A$6:$A$185),0)-24+20)),"mmm yy"))</f>
        <v/>
      </c>
      <c r="L23" s="77">
        <f>IF((IFERROR(MATCH(9.99E+307,History!$A$6:$A$185),0)-24+20)&lt;1,NA(),IF(INDEX(History!$D$6:$D$185,(IFERROR(MATCH(9.99E+307,History!$A$6:$A$185),0)-24+20))="",NA(),INDEX(History!$D$6:$D$185,(IFERROR(MATCH(9.99E+307,History!$A$6:$A$185),0)-24+20))))</f>
        <v/>
      </c>
    </row>
    <row r="24">
      <c r="A24" s="75">
        <f>IF(History!A26="",NA(),History!A26)</f>
        <v/>
      </c>
      <c r="B24" s="76">
        <f>IF(History!K26="",NA(),History!K26)</f>
        <v/>
      </c>
      <c r="C24" s="76">
        <f>IF(History!L26="",NA(),History!L26)</f>
        <v/>
      </c>
      <c r="D24" s="77">
        <f>IF(History!M26="",NA(),History!M26)</f>
        <v/>
      </c>
      <c r="E24" s="77">
        <f>IF(History!N26="",NA(),History!N26)</f>
        <v/>
      </c>
      <c r="F24" s="77">
        <f>IF(History!D26="",NA(),History!D26)</f>
        <v/>
      </c>
      <c r="K24">
        <f>IF((IFERROR(MATCH(9.99E+307,History!$A$6:$A$185),0)-24+21)&lt;1,"",TEXT(INDEX(History!$A$6:$A$185,(IFERROR(MATCH(9.99E+307,History!$A$6:$A$185),0)-24+21)),"mmm yy"))</f>
        <v/>
      </c>
      <c r="L24" s="77">
        <f>IF((IFERROR(MATCH(9.99E+307,History!$A$6:$A$185),0)-24+21)&lt;1,NA(),IF(INDEX(History!$D$6:$D$185,(IFERROR(MATCH(9.99E+307,History!$A$6:$A$185),0)-24+21))="",NA(),INDEX(History!$D$6:$D$185,(IFERROR(MATCH(9.99E+307,History!$A$6:$A$185),0)-24+21))))</f>
        <v/>
      </c>
    </row>
    <row r="25">
      <c r="A25" s="75">
        <f>IF(History!A27="",NA(),History!A27)</f>
        <v/>
      </c>
      <c r="B25" s="76">
        <f>IF(History!K27="",NA(),History!K27)</f>
        <v/>
      </c>
      <c r="C25" s="76">
        <f>IF(History!L27="",NA(),History!L27)</f>
        <v/>
      </c>
      <c r="D25" s="77">
        <f>IF(History!M27="",NA(),History!M27)</f>
        <v/>
      </c>
      <c r="E25" s="77">
        <f>IF(History!N27="",NA(),History!N27)</f>
        <v/>
      </c>
      <c r="F25" s="77">
        <f>IF(History!D27="",NA(),History!D27)</f>
        <v/>
      </c>
      <c r="K25">
        <f>IF((IFERROR(MATCH(9.99E+307,History!$A$6:$A$185),0)-24+22)&lt;1,"",TEXT(INDEX(History!$A$6:$A$185,(IFERROR(MATCH(9.99E+307,History!$A$6:$A$185),0)-24+22)),"mmm yy"))</f>
        <v/>
      </c>
      <c r="L25" s="77">
        <f>IF((IFERROR(MATCH(9.99E+307,History!$A$6:$A$185),0)-24+22)&lt;1,NA(),IF(INDEX(History!$D$6:$D$185,(IFERROR(MATCH(9.99E+307,History!$A$6:$A$185),0)-24+22))="",NA(),INDEX(History!$D$6:$D$185,(IFERROR(MATCH(9.99E+307,History!$A$6:$A$185),0)-24+22))))</f>
        <v/>
      </c>
    </row>
    <row r="26">
      <c r="A26" s="75">
        <f>IF(History!A28="",NA(),History!A28)</f>
        <v/>
      </c>
      <c r="B26" s="76">
        <f>IF(History!K28="",NA(),History!K28)</f>
        <v/>
      </c>
      <c r="C26" s="76">
        <f>IF(History!L28="",NA(),History!L28)</f>
        <v/>
      </c>
      <c r="D26" s="77">
        <f>IF(History!M28="",NA(),History!M28)</f>
        <v/>
      </c>
      <c r="E26" s="77">
        <f>IF(History!N28="",NA(),History!N28)</f>
        <v/>
      </c>
      <c r="F26" s="77">
        <f>IF(History!D28="",NA(),History!D28)</f>
        <v/>
      </c>
      <c r="K26">
        <f>IF((IFERROR(MATCH(9.99E+307,History!$A$6:$A$185),0)-24+23)&lt;1,"",TEXT(INDEX(History!$A$6:$A$185,(IFERROR(MATCH(9.99E+307,History!$A$6:$A$185),0)-24+23)),"mmm yy"))</f>
        <v/>
      </c>
      <c r="L26" s="77">
        <f>IF((IFERROR(MATCH(9.99E+307,History!$A$6:$A$185),0)-24+23)&lt;1,NA(),IF(INDEX(History!$D$6:$D$185,(IFERROR(MATCH(9.99E+307,History!$A$6:$A$185),0)-24+23))="",NA(),INDEX(History!$D$6:$D$185,(IFERROR(MATCH(9.99E+307,History!$A$6:$A$185),0)-24+23))))</f>
        <v/>
      </c>
    </row>
    <row r="27">
      <c r="A27" s="75">
        <f>IF(History!A29="",NA(),History!A29)</f>
        <v/>
      </c>
      <c r="B27" s="76">
        <f>IF(History!K29="",NA(),History!K29)</f>
        <v/>
      </c>
      <c r="C27" s="76">
        <f>IF(History!L29="",NA(),History!L29)</f>
        <v/>
      </c>
      <c r="D27" s="77">
        <f>IF(History!M29="",NA(),History!M29)</f>
        <v/>
      </c>
      <c r="E27" s="77">
        <f>IF(History!N29="",NA(),History!N29)</f>
        <v/>
      </c>
      <c r="F27" s="77">
        <f>IF(History!D29="",NA(),History!D29)</f>
        <v/>
      </c>
      <c r="K27">
        <f>IF((IFERROR(MATCH(9.99E+307,History!$A$6:$A$185),0)-24+24)&lt;1,"",TEXT(INDEX(History!$A$6:$A$185,(IFERROR(MATCH(9.99E+307,History!$A$6:$A$185),0)-24+24)),"mmm yy"))</f>
        <v/>
      </c>
      <c r="L27" s="77">
        <f>IF((IFERROR(MATCH(9.99E+307,History!$A$6:$A$185),0)-24+24)&lt;1,NA(),IF(INDEX(History!$D$6:$D$185,(IFERROR(MATCH(9.99E+307,History!$A$6:$A$185),0)-24+24))="",NA(),INDEX(History!$D$6:$D$185,(IFERROR(MATCH(9.99E+307,History!$A$6:$A$185),0)-24+24))))</f>
        <v/>
      </c>
    </row>
    <row r="28">
      <c r="A28" s="75">
        <f>IF(History!A30="",NA(),History!A30)</f>
        <v/>
      </c>
      <c r="B28" s="76">
        <f>IF(History!K30="",NA(),History!K30)</f>
        <v/>
      </c>
      <c r="C28" s="76">
        <f>IF(History!L30="",NA(),History!L30)</f>
        <v/>
      </c>
      <c r="D28" s="77">
        <f>IF(History!M30="",NA(),History!M30)</f>
        <v/>
      </c>
      <c r="E28" s="77">
        <f>IF(History!N30="",NA(),History!N30)</f>
        <v/>
      </c>
      <c r="F28" s="77">
        <f>IF(History!D30="",NA(),History!D30)</f>
        <v/>
      </c>
    </row>
    <row r="29">
      <c r="A29" s="75">
        <f>IF(History!A31="",NA(),History!A31)</f>
        <v/>
      </c>
      <c r="B29" s="76">
        <f>IF(History!K31="",NA(),History!K31)</f>
        <v/>
      </c>
      <c r="C29" s="76">
        <f>IF(History!L31="",NA(),History!L31)</f>
        <v/>
      </c>
      <c r="D29" s="77">
        <f>IF(History!M31="",NA(),History!M31)</f>
        <v/>
      </c>
      <c r="E29" s="77">
        <f>IF(History!N31="",NA(),History!N31)</f>
        <v/>
      </c>
      <c r="F29" s="77">
        <f>IF(History!D31="",NA(),History!D31)</f>
        <v/>
      </c>
    </row>
    <row r="30">
      <c r="A30" s="75">
        <f>IF(History!A32="",NA(),History!A32)</f>
        <v/>
      </c>
      <c r="B30" s="76">
        <f>IF(History!K32="",NA(),History!K32)</f>
        <v/>
      </c>
      <c r="C30" s="76">
        <f>IF(History!L32="",NA(),History!L32)</f>
        <v/>
      </c>
      <c r="D30" s="77">
        <f>IF(History!M32="",NA(),History!M32)</f>
        <v/>
      </c>
      <c r="E30" s="77">
        <f>IF(History!N32="",NA(),History!N32)</f>
        <v/>
      </c>
      <c r="F30" s="77">
        <f>IF(History!D32="",NA(),History!D32)</f>
        <v/>
      </c>
    </row>
    <row r="31">
      <c r="A31" s="75">
        <f>IF(History!A33="",NA(),History!A33)</f>
        <v/>
      </c>
      <c r="B31" s="76">
        <f>IF(History!K33="",NA(),History!K33)</f>
        <v/>
      </c>
      <c r="C31" s="76">
        <f>IF(History!L33="",NA(),History!L33)</f>
        <v/>
      </c>
      <c r="D31" s="77">
        <f>IF(History!M33="",NA(),History!M33)</f>
        <v/>
      </c>
      <c r="E31" s="77">
        <f>IF(History!N33="",NA(),History!N33)</f>
        <v/>
      </c>
      <c r="F31" s="77">
        <f>IF(History!D33="",NA(),History!D33)</f>
        <v/>
      </c>
    </row>
    <row r="32">
      <c r="A32" s="75">
        <f>IF(History!A34="",NA(),History!A34)</f>
        <v/>
      </c>
      <c r="B32" s="76">
        <f>IF(History!K34="",NA(),History!K34)</f>
        <v/>
      </c>
      <c r="C32" s="76">
        <f>IF(History!L34="",NA(),History!L34)</f>
        <v/>
      </c>
      <c r="D32" s="77">
        <f>IF(History!M34="",NA(),History!M34)</f>
        <v/>
      </c>
      <c r="E32" s="77">
        <f>IF(History!N34="",NA(),History!N34)</f>
        <v/>
      </c>
      <c r="F32" s="77">
        <f>IF(History!D34="",NA(),History!D34)</f>
        <v/>
      </c>
    </row>
    <row r="33">
      <c r="A33" s="75">
        <f>IF(History!A35="",NA(),History!A35)</f>
        <v/>
      </c>
      <c r="B33" s="76">
        <f>IF(History!K35="",NA(),History!K35)</f>
        <v/>
      </c>
      <c r="C33" s="76">
        <f>IF(History!L35="",NA(),History!L35)</f>
        <v/>
      </c>
      <c r="D33" s="77">
        <f>IF(History!M35="",NA(),History!M35)</f>
        <v/>
      </c>
      <c r="E33" s="77">
        <f>IF(History!N35="",NA(),History!N35)</f>
        <v/>
      </c>
      <c r="F33" s="77">
        <f>IF(History!D35="",NA(),History!D35)</f>
        <v/>
      </c>
    </row>
    <row r="34">
      <c r="A34" s="75">
        <f>IF(History!A36="",NA(),History!A36)</f>
        <v/>
      </c>
      <c r="B34" s="76">
        <f>IF(History!K36="",NA(),History!K36)</f>
        <v/>
      </c>
      <c r="C34" s="76">
        <f>IF(History!L36="",NA(),History!L36)</f>
        <v/>
      </c>
      <c r="D34" s="77">
        <f>IF(History!M36="",NA(),History!M36)</f>
        <v/>
      </c>
      <c r="E34" s="77">
        <f>IF(History!N36="",NA(),History!N36)</f>
        <v/>
      </c>
      <c r="F34" s="77">
        <f>IF(History!D36="",NA(),History!D36)</f>
        <v/>
      </c>
    </row>
    <row r="35">
      <c r="A35" s="75">
        <f>IF(History!A37="",NA(),History!A37)</f>
        <v/>
      </c>
      <c r="B35" s="76">
        <f>IF(History!K37="",NA(),History!K37)</f>
        <v/>
      </c>
      <c r="C35" s="76">
        <f>IF(History!L37="",NA(),History!L37)</f>
        <v/>
      </c>
      <c r="D35" s="77">
        <f>IF(History!M37="",NA(),History!M37)</f>
        <v/>
      </c>
      <c r="E35" s="77">
        <f>IF(History!N37="",NA(),History!N37)</f>
        <v/>
      </c>
      <c r="F35" s="77">
        <f>IF(History!D37="",NA(),History!D37)</f>
        <v/>
      </c>
    </row>
    <row r="36">
      <c r="A36" s="75">
        <f>IF(History!A38="",NA(),History!A38)</f>
        <v/>
      </c>
      <c r="B36" s="76">
        <f>IF(History!K38="",NA(),History!K38)</f>
        <v/>
      </c>
      <c r="C36" s="76">
        <f>IF(History!L38="",NA(),History!L38)</f>
        <v/>
      </c>
      <c r="D36" s="77">
        <f>IF(History!M38="",NA(),History!M38)</f>
        <v/>
      </c>
      <c r="E36" s="77">
        <f>IF(History!N38="",NA(),History!N38)</f>
        <v/>
      </c>
      <c r="F36" s="77">
        <f>IF(History!D38="",NA(),History!D38)</f>
        <v/>
      </c>
    </row>
    <row r="37">
      <c r="A37" s="75">
        <f>IF(History!A39="",NA(),History!A39)</f>
        <v/>
      </c>
      <c r="B37" s="76">
        <f>IF(History!K39="",NA(),History!K39)</f>
        <v/>
      </c>
      <c r="C37" s="76">
        <f>IF(History!L39="",NA(),History!L39)</f>
        <v/>
      </c>
      <c r="D37" s="77">
        <f>IF(History!M39="",NA(),History!M39)</f>
        <v/>
      </c>
      <c r="E37" s="77">
        <f>IF(History!N39="",NA(),History!N39)</f>
        <v/>
      </c>
      <c r="F37" s="77">
        <f>IF(History!D39="",NA(),History!D39)</f>
        <v/>
      </c>
    </row>
    <row r="38">
      <c r="A38" s="75">
        <f>IF(History!A40="",NA(),History!A40)</f>
        <v/>
      </c>
      <c r="B38" s="76">
        <f>IF(History!K40="",NA(),History!K40)</f>
        <v/>
      </c>
      <c r="C38" s="76">
        <f>IF(History!L40="",NA(),History!L40)</f>
        <v/>
      </c>
      <c r="D38" s="77">
        <f>IF(History!M40="",NA(),History!M40)</f>
        <v/>
      </c>
      <c r="E38" s="77">
        <f>IF(History!N40="",NA(),History!N40)</f>
        <v/>
      </c>
      <c r="F38" s="77">
        <f>IF(History!D40="",NA(),History!D40)</f>
        <v/>
      </c>
    </row>
    <row r="39">
      <c r="A39" s="75">
        <f>IF(History!A41="",NA(),History!A41)</f>
        <v/>
      </c>
      <c r="B39" s="76">
        <f>IF(History!K41="",NA(),History!K41)</f>
        <v/>
      </c>
      <c r="C39" s="76">
        <f>IF(History!L41="",NA(),History!L41)</f>
        <v/>
      </c>
      <c r="D39" s="77">
        <f>IF(History!M41="",NA(),History!M41)</f>
        <v/>
      </c>
      <c r="E39" s="77">
        <f>IF(History!N41="",NA(),History!N41)</f>
        <v/>
      </c>
      <c r="F39" s="77">
        <f>IF(History!D41="",NA(),History!D41)</f>
        <v/>
      </c>
    </row>
    <row r="40">
      <c r="A40" s="75">
        <f>IF(History!A42="",NA(),History!A42)</f>
        <v/>
      </c>
      <c r="B40" s="76">
        <f>IF(History!K42="",NA(),History!K42)</f>
        <v/>
      </c>
      <c r="C40" s="76">
        <f>IF(History!L42="",NA(),History!L42)</f>
        <v/>
      </c>
      <c r="D40" s="77">
        <f>IF(History!M42="",NA(),History!M42)</f>
        <v/>
      </c>
      <c r="E40" s="77">
        <f>IF(History!N42="",NA(),History!N42)</f>
        <v/>
      </c>
      <c r="F40" s="77">
        <f>IF(History!D42="",NA(),History!D42)</f>
        <v/>
      </c>
    </row>
    <row r="41">
      <c r="A41" s="75">
        <f>IF(History!A43="",NA(),History!A43)</f>
        <v/>
      </c>
      <c r="B41" s="76">
        <f>IF(History!K43="",NA(),History!K43)</f>
        <v/>
      </c>
      <c r="C41" s="76">
        <f>IF(History!L43="",NA(),History!L43)</f>
        <v/>
      </c>
      <c r="D41" s="77">
        <f>IF(History!M43="",NA(),History!M43)</f>
        <v/>
      </c>
      <c r="E41" s="77">
        <f>IF(History!N43="",NA(),History!N43)</f>
        <v/>
      </c>
      <c r="F41" s="77">
        <f>IF(History!D43="",NA(),History!D43)</f>
        <v/>
      </c>
    </row>
    <row r="42">
      <c r="A42" s="75">
        <f>IF(History!A44="",NA(),History!A44)</f>
        <v/>
      </c>
      <c r="B42" s="76">
        <f>IF(History!K44="",NA(),History!K44)</f>
        <v/>
      </c>
      <c r="C42" s="76">
        <f>IF(History!L44="",NA(),History!L44)</f>
        <v/>
      </c>
      <c r="D42" s="77">
        <f>IF(History!M44="",NA(),History!M44)</f>
        <v/>
      </c>
      <c r="E42" s="77">
        <f>IF(History!N44="",NA(),History!N44)</f>
        <v/>
      </c>
      <c r="F42" s="77">
        <f>IF(History!D44="",NA(),History!D44)</f>
        <v/>
      </c>
    </row>
    <row r="43">
      <c r="A43" s="75">
        <f>IF(History!A45="",NA(),History!A45)</f>
        <v/>
      </c>
      <c r="B43" s="76">
        <f>IF(History!K45="",NA(),History!K45)</f>
        <v/>
      </c>
      <c r="C43" s="76">
        <f>IF(History!L45="",NA(),History!L45)</f>
        <v/>
      </c>
      <c r="D43" s="77">
        <f>IF(History!M45="",NA(),History!M45)</f>
        <v/>
      </c>
      <c r="E43" s="77">
        <f>IF(History!N45="",NA(),History!N45)</f>
        <v/>
      </c>
      <c r="F43" s="77">
        <f>IF(History!D45="",NA(),History!D45)</f>
        <v/>
      </c>
    </row>
    <row r="44">
      <c r="A44" s="75">
        <f>IF(History!A46="",NA(),History!A46)</f>
        <v/>
      </c>
      <c r="B44" s="76">
        <f>IF(History!K46="",NA(),History!K46)</f>
        <v/>
      </c>
      <c r="C44" s="76">
        <f>IF(History!L46="",NA(),History!L46)</f>
        <v/>
      </c>
      <c r="D44" s="77">
        <f>IF(History!M46="",NA(),History!M46)</f>
        <v/>
      </c>
      <c r="E44" s="77">
        <f>IF(History!N46="",NA(),History!N46)</f>
        <v/>
      </c>
      <c r="F44" s="77">
        <f>IF(History!D46="",NA(),History!D46)</f>
        <v/>
      </c>
    </row>
    <row r="45">
      <c r="A45" s="75">
        <f>IF(History!A47="",NA(),History!A47)</f>
        <v/>
      </c>
      <c r="B45" s="76">
        <f>IF(History!K47="",NA(),History!K47)</f>
        <v/>
      </c>
      <c r="C45" s="76">
        <f>IF(History!L47="",NA(),History!L47)</f>
        <v/>
      </c>
      <c r="D45" s="77">
        <f>IF(History!M47="",NA(),History!M47)</f>
        <v/>
      </c>
      <c r="E45" s="77">
        <f>IF(History!N47="",NA(),History!N47)</f>
        <v/>
      </c>
      <c r="F45" s="77">
        <f>IF(History!D47="",NA(),History!D47)</f>
        <v/>
      </c>
    </row>
    <row r="46">
      <c r="A46" s="75">
        <f>IF(History!A48="",NA(),History!A48)</f>
        <v/>
      </c>
      <c r="B46" s="76">
        <f>IF(History!K48="",NA(),History!K48)</f>
        <v/>
      </c>
      <c r="C46" s="76">
        <f>IF(History!L48="",NA(),History!L48)</f>
        <v/>
      </c>
      <c r="D46" s="77">
        <f>IF(History!M48="",NA(),History!M48)</f>
        <v/>
      </c>
      <c r="E46" s="77">
        <f>IF(History!N48="",NA(),History!N48)</f>
        <v/>
      </c>
      <c r="F46" s="77">
        <f>IF(History!D48="",NA(),History!D48)</f>
        <v/>
      </c>
    </row>
    <row r="47">
      <c r="A47" s="75">
        <f>IF(History!A49="",NA(),History!A49)</f>
        <v/>
      </c>
      <c r="B47" s="76">
        <f>IF(History!K49="",NA(),History!K49)</f>
        <v/>
      </c>
      <c r="C47" s="76">
        <f>IF(History!L49="",NA(),History!L49)</f>
        <v/>
      </c>
      <c r="D47" s="77">
        <f>IF(History!M49="",NA(),History!M49)</f>
        <v/>
      </c>
      <c r="E47" s="77">
        <f>IF(History!N49="",NA(),History!N49)</f>
        <v/>
      </c>
      <c r="F47" s="77">
        <f>IF(History!D49="",NA(),History!D49)</f>
        <v/>
      </c>
    </row>
    <row r="48">
      <c r="A48" s="75">
        <f>IF(History!A50="",NA(),History!A50)</f>
        <v/>
      </c>
      <c r="B48" s="76">
        <f>IF(History!K50="",NA(),History!K50)</f>
        <v/>
      </c>
      <c r="C48" s="76">
        <f>IF(History!L50="",NA(),History!L50)</f>
        <v/>
      </c>
      <c r="D48" s="77">
        <f>IF(History!M50="",NA(),History!M50)</f>
        <v/>
      </c>
      <c r="E48" s="77">
        <f>IF(History!N50="",NA(),History!N50)</f>
        <v/>
      </c>
      <c r="F48" s="77">
        <f>IF(History!D50="",NA(),History!D50)</f>
        <v/>
      </c>
    </row>
    <row r="49">
      <c r="A49" s="75">
        <f>IF(History!A51="",NA(),History!A51)</f>
        <v/>
      </c>
      <c r="B49" s="76">
        <f>IF(History!K51="",NA(),History!K51)</f>
        <v/>
      </c>
      <c r="C49" s="76">
        <f>IF(History!L51="",NA(),History!L51)</f>
        <v/>
      </c>
      <c r="D49" s="77">
        <f>IF(History!M51="",NA(),History!M51)</f>
        <v/>
      </c>
      <c r="E49" s="77">
        <f>IF(History!N51="",NA(),History!N51)</f>
        <v/>
      </c>
      <c r="F49" s="77">
        <f>IF(History!D51="",NA(),History!D51)</f>
        <v/>
      </c>
    </row>
    <row r="50">
      <c r="A50" s="75">
        <f>IF(History!A52="",NA(),History!A52)</f>
        <v/>
      </c>
      <c r="B50" s="76">
        <f>IF(History!K52="",NA(),History!K52)</f>
        <v/>
      </c>
      <c r="C50" s="76">
        <f>IF(History!L52="",NA(),History!L52)</f>
        <v/>
      </c>
      <c r="D50" s="77">
        <f>IF(History!M52="",NA(),History!M52)</f>
        <v/>
      </c>
      <c r="E50" s="77">
        <f>IF(History!N52="",NA(),History!N52)</f>
        <v/>
      </c>
      <c r="F50" s="77">
        <f>IF(History!D52="",NA(),History!D52)</f>
        <v/>
      </c>
    </row>
    <row r="51">
      <c r="A51" s="75">
        <f>IF(History!A53="",NA(),History!A53)</f>
        <v/>
      </c>
      <c r="B51" s="76">
        <f>IF(History!K53="",NA(),History!K53)</f>
        <v/>
      </c>
      <c r="C51" s="76">
        <f>IF(History!L53="",NA(),History!L53)</f>
        <v/>
      </c>
      <c r="D51" s="77">
        <f>IF(History!M53="",NA(),History!M53)</f>
        <v/>
      </c>
      <c r="E51" s="77">
        <f>IF(History!N53="",NA(),History!N53)</f>
        <v/>
      </c>
      <c r="F51" s="77">
        <f>IF(History!D53="",NA(),History!D53)</f>
        <v/>
      </c>
    </row>
    <row r="52">
      <c r="A52" s="75">
        <f>IF(History!A54="",NA(),History!A54)</f>
        <v/>
      </c>
      <c r="B52" s="76">
        <f>IF(History!K54="",NA(),History!K54)</f>
        <v/>
      </c>
      <c r="C52" s="76">
        <f>IF(History!L54="",NA(),History!L54)</f>
        <v/>
      </c>
      <c r="D52" s="77">
        <f>IF(History!M54="",NA(),History!M54)</f>
        <v/>
      </c>
      <c r="E52" s="77">
        <f>IF(History!N54="",NA(),History!N54)</f>
        <v/>
      </c>
      <c r="F52" s="77">
        <f>IF(History!D54="",NA(),History!D54)</f>
        <v/>
      </c>
    </row>
    <row r="53">
      <c r="A53" s="75">
        <f>IF(History!A55="",NA(),History!A55)</f>
        <v/>
      </c>
      <c r="B53" s="76">
        <f>IF(History!K55="",NA(),History!K55)</f>
        <v/>
      </c>
      <c r="C53" s="76">
        <f>IF(History!L55="",NA(),History!L55)</f>
        <v/>
      </c>
      <c r="D53" s="77">
        <f>IF(History!M55="",NA(),History!M55)</f>
        <v/>
      </c>
      <c r="E53" s="77">
        <f>IF(History!N55="",NA(),History!N55)</f>
        <v/>
      </c>
      <c r="F53" s="77">
        <f>IF(History!D55="",NA(),History!D55)</f>
        <v/>
      </c>
    </row>
    <row r="54">
      <c r="A54" s="75">
        <f>IF(History!A56="",NA(),History!A56)</f>
        <v/>
      </c>
      <c r="B54" s="76">
        <f>IF(History!K56="",NA(),History!K56)</f>
        <v/>
      </c>
      <c r="C54" s="76">
        <f>IF(History!L56="",NA(),History!L56)</f>
        <v/>
      </c>
      <c r="D54" s="77">
        <f>IF(History!M56="",NA(),History!M56)</f>
        <v/>
      </c>
      <c r="E54" s="77">
        <f>IF(History!N56="",NA(),History!N56)</f>
        <v/>
      </c>
      <c r="F54" s="77">
        <f>IF(History!D56="",NA(),History!D56)</f>
        <v/>
      </c>
    </row>
    <row r="55">
      <c r="A55" s="75">
        <f>IF(History!A57="",NA(),History!A57)</f>
        <v/>
      </c>
      <c r="B55" s="76">
        <f>IF(History!K57="",NA(),History!K57)</f>
        <v/>
      </c>
      <c r="C55" s="76">
        <f>IF(History!L57="",NA(),History!L57)</f>
        <v/>
      </c>
      <c r="D55" s="77">
        <f>IF(History!M57="",NA(),History!M57)</f>
        <v/>
      </c>
      <c r="E55" s="77">
        <f>IF(History!N57="",NA(),History!N57)</f>
        <v/>
      </c>
      <c r="F55" s="77">
        <f>IF(History!D57="",NA(),History!D57)</f>
        <v/>
      </c>
    </row>
    <row r="56">
      <c r="A56" s="75">
        <f>IF(History!A58="",NA(),History!A58)</f>
        <v/>
      </c>
      <c r="B56" s="76">
        <f>IF(History!K58="",NA(),History!K58)</f>
        <v/>
      </c>
      <c r="C56" s="76">
        <f>IF(History!L58="",NA(),History!L58)</f>
        <v/>
      </c>
      <c r="D56" s="77">
        <f>IF(History!M58="",NA(),History!M58)</f>
        <v/>
      </c>
      <c r="E56" s="77">
        <f>IF(History!N58="",NA(),History!N58)</f>
        <v/>
      </c>
      <c r="F56" s="77">
        <f>IF(History!D58="",NA(),History!D58)</f>
        <v/>
      </c>
    </row>
    <row r="57">
      <c r="A57" s="75">
        <f>IF(History!A59="",NA(),History!A59)</f>
        <v/>
      </c>
      <c r="B57" s="76">
        <f>IF(History!K59="",NA(),History!K59)</f>
        <v/>
      </c>
      <c r="C57" s="76">
        <f>IF(History!L59="",NA(),History!L59)</f>
        <v/>
      </c>
      <c r="D57" s="77">
        <f>IF(History!M59="",NA(),History!M59)</f>
        <v/>
      </c>
      <c r="E57" s="77">
        <f>IF(History!N59="",NA(),History!N59)</f>
        <v/>
      </c>
      <c r="F57" s="77">
        <f>IF(History!D59="",NA(),History!D59)</f>
        <v/>
      </c>
    </row>
    <row r="58">
      <c r="A58" s="75">
        <f>IF(History!A60="",NA(),History!A60)</f>
        <v/>
      </c>
      <c r="B58" s="76">
        <f>IF(History!K60="",NA(),History!K60)</f>
        <v/>
      </c>
      <c r="C58" s="76">
        <f>IF(History!L60="",NA(),History!L60)</f>
        <v/>
      </c>
      <c r="D58" s="77">
        <f>IF(History!M60="",NA(),History!M60)</f>
        <v/>
      </c>
      <c r="E58" s="77">
        <f>IF(History!N60="",NA(),History!N60)</f>
        <v/>
      </c>
      <c r="F58" s="77">
        <f>IF(History!D60="",NA(),History!D60)</f>
        <v/>
      </c>
    </row>
    <row r="59">
      <c r="A59" s="75">
        <f>IF(History!A61="",NA(),History!A61)</f>
        <v/>
      </c>
      <c r="B59" s="76">
        <f>IF(History!K61="",NA(),History!K61)</f>
        <v/>
      </c>
      <c r="C59" s="76">
        <f>IF(History!L61="",NA(),History!L61)</f>
        <v/>
      </c>
      <c r="D59" s="77">
        <f>IF(History!M61="",NA(),History!M61)</f>
        <v/>
      </c>
      <c r="E59" s="77">
        <f>IF(History!N61="",NA(),History!N61)</f>
        <v/>
      </c>
      <c r="F59" s="77">
        <f>IF(History!D61="",NA(),History!D61)</f>
        <v/>
      </c>
    </row>
    <row r="60">
      <c r="A60" s="75">
        <f>IF(History!A62="",NA(),History!A62)</f>
        <v/>
      </c>
      <c r="B60" s="76">
        <f>IF(History!K62="",NA(),History!K62)</f>
        <v/>
      </c>
      <c r="C60" s="76">
        <f>IF(History!L62="",NA(),History!L62)</f>
        <v/>
      </c>
      <c r="D60" s="77">
        <f>IF(History!M62="",NA(),History!M62)</f>
        <v/>
      </c>
      <c r="E60" s="77">
        <f>IF(History!N62="",NA(),History!N62)</f>
        <v/>
      </c>
      <c r="F60" s="77">
        <f>IF(History!D62="",NA(),History!D62)</f>
        <v/>
      </c>
    </row>
    <row r="61">
      <c r="A61" s="75">
        <f>IF(History!A63="",NA(),History!A63)</f>
        <v/>
      </c>
      <c r="B61" s="76">
        <f>IF(History!K63="",NA(),History!K63)</f>
        <v/>
      </c>
      <c r="C61" s="76">
        <f>IF(History!L63="",NA(),History!L63)</f>
        <v/>
      </c>
      <c r="D61" s="77">
        <f>IF(History!M63="",NA(),History!M63)</f>
        <v/>
      </c>
      <c r="E61" s="77">
        <f>IF(History!N63="",NA(),History!N63)</f>
        <v/>
      </c>
      <c r="F61" s="77">
        <f>IF(History!D63="",NA(),History!D63)</f>
        <v/>
      </c>
    </row>
    <row r="62">
      <c r="A62" s="75">
        <f>IF(History!A64="",NA(),History!A64)</f>
        <v/>
      </c>
      <c r="B62" s="76">
        <f>IF(History!K64="",NA(),History!K64)</f>
        <v/>
      </c>
      <c r="C62" s="76">
        <f>IF(History!L64="",NA(),History!L64)</f>
        <v/>
      </c>
      <c r="D62" s="77">
        <f>IF(History!M64="",NA(),History!M64)</f>
        <v/>
      </c>
      <c r="E62" s="77">
        <f>IF(History!N64="",NA(),History!N64)</f>
        <v/>
      </c>
      <c r="F62" s="77">
        <f>IF(History!D64="",NA(),History!D64)</f>
        <v/>
      </c>
    </row>
    <row r="63">
      <c r="A63" s="75">
        <f>IF(History!A65="",NA(),History!A65)</f>
        <v/>
      </c>
      <c r="B63" s="76">
        <f>IF(History!K65="",NA(),History!K65)</f>
        <v/>
      </c>
      <c r="C63" s="76">
        <f>IF(History!L65="",NA(),History!L65)</f>
        <v/>
      </c>
      <c r="D63" s="77">
        <f>IF(History!M65="",NA(),History!M65)</f>
        <v/>
      </c>
      <c r="E63" s="77">
        <f>IF(History!N65="",NA(),History!N65)</f>
        <v/>
      </c>
      <c r="F63" s="77">
        <f>IF(History!D65="",NA(),History!D65)</f>
        <v/>
      </c>
    </row>
    <row r="64">
      <c r="A64" s="75">
        <f>IF(History!A66="",NA(),History!A66)</f>
        <v/>
      </c>
      <c r="B64" s="76">
        <f>IF(History!K66="",NA(),History!K66)</f>
        <v/>
      </c>
      <c r="C64" s="76">
        <f>IF(History!L66="",NA(),History!L66)</f>
        <v/>
      </c>
      <c r="D64" s="77">
        <f>IF(History!M66="",NA(),History!M66)</f>
        <v/>
      </c>
      <c r="E64" s="77">
        <f>IF(History!N66="",NA(),History!N66)</f>
        <v/>
      </c>
      <c r="F64" s="77">
        <f>IF(History!D66="",NA(),History!D66)</f>
        <v/>
      </c>
    </row>
    <row r="65">
      <c r="A65" s="75">
        <f>IF(History!A67="",NA(),History!A67)</f>
        <v/>
      </c>
      <c r="B65" s="76">
        <f>IF(History!K67="",NA(),History!K67)</f>
        <v/>
      </c>
      <c r="C65" s="76">
        <f>IF(History!L67="",NA(),History!L67)</f>
        <v/>
      </c>
      <c r="D65" s="77">
        <f>IF(History!M67="",NA(),History!M67)</f>
        <v/>
      </c>
      <c r="E65" s="77">
        <f>IF(History!N67="",NA(),History!N67)</f>
        <v/>
      </c>
      <c r="F65" s="77">
        <f>IF(History!D67="",NA(),History!D67)</f>
        <v/>
      </c>
    </row>
    <row r="66">
      <c r="A66" s="75">
        <f>IF(History!A68="",NA(),History!A68)</f>
        <v/>
      </c>
      <c r="B66" s="76">
        <f>IF(History!K68="",NA(),History!K68)</f>
        <v/>
      </c>
      <c r="C66" s="76">
        <f>IF(History!L68="",NA(),History!L68)</f>
        <v/>
      </c>
      <c r="D66" s="77">
        <f>IF(History!M68="",NA(),History!M68)</f>
        <v/>
      </c>
      <c r="E66" s="77">
        <f>IF(History!N68="",NA(),History!N68)</f>
        <v/>
      </c>
      <c r="F66" s="77">
        <f>IF(History!D68="",NA(),History!D68)</f>
        <v/>
      </c>
    </row>
    <row r="67">
      <c r="A67" s="75">
        <f>IF(History!A69="",NA(),History!A69)</f>
        <v/>
      </c>
      <c r="B67" s="76">
        <f>IF(History!K69="",NA(),History!K69)</f>
        <v/>
      </c>
      <c r="C67" s="76">
        <f>IF(History!L69="",NA(),History!L69)</f>
        <v/>
      </c>
      <c r="D67" s="77">
        <f>IF(History!M69="",NA(),History!M69)</f>
        <v/>
      </c>
      <c r="E67" s="77">
        <f>IF(History!N69="",NA(),History!N69)</f>
        <v/>
      </c>
      <c r="F67" s="77">
        <f>IF(History!D69="",NA(),History!D69)</f>
        <v/>
      </c>
    </row>
    <row r="68">
      <c r="A68" s="75">
        <f>IF(History!A70="",NA(),History!A70)</f>
        <v/>
      </c>
      <c r="B68" s="76">
        <f>IF(History!K70="",NA(),History!K70)</f>
        <v/>
      </c>
      <c r="C68" s="76">
        <f>IF(History!L70="",NA(),History!L70)</f>
        <v/>
      </c>
      <c r="D68" s="77">
        <f>IF(History!M70="",NA(),History!M70)</f>
        <v/>
      </c>
      <c r="E68" s="77">
        <f>IF(History!N70="",NA(),History!N70)</f>
        <v/>
      </c>
      <c r="F68" s="77">
        <f>IF(History!D70="",NA(),History!D70)</f>
        <v/>
      </c>
    </row>
    <row r="69">
      <c r="A69" s="75">
        <f>IF(History!A71="",NA(),History!A71)</f>
        <v/>
      </c>
      <c r="B69" s="76">
        <f>IF(History!K71="",NA(),History!K71)</f>
        <v/>
      </c>
      <c r="C69" s="76">
        <f>IF(History!L71="",NA(),History!L71)</f>
        <v/>
      </c>
      <c r="D69" s="77">
        <f>IF(History!M71="",NA(),History!M71)</f>
        <v/>
      </c>
      <c r="E69" s="77">
        <f>IF(History!N71="",NA(),History!N71)</f>
        <v/>
      </c>
      <c r="F69" s="77">
        <f>IF(History!D71="",NA(),History!D71)</f>
        <v/>
      </c>
    </row>
    <row r="70">
      <c r="A70" s="75">
        <f>IF(History!A72="",NA(),History!A72)</f>
        <v/>
      </c>
      <c r="B70" s="76">
        <f>IF(History!K72="",NA(),History!K72)</f>
        <v/>
      </c>
      <c r="C70" s="76">
        <f>IF(History!L72="",NA(),History!L72)</f>
        <v/>
      </c>
      <c r="D70" s="77">
        <f>IF(History!M72="",NA(),History!M72)</f>
        <v/>
      </c>
      <c r="E70" s="77">
        <f>IF(History!N72="",NA(),History!N72)</f>
        <v/>
      </c>
      <c r="F70" s="77">
        <f>IF(History!D72="",NA(),History!D72)</f>
        <v/>
      </c>
    </row>
    <row r="71">
      <c r="A71" s="75">
        <f>IF(History!A73="",NA(),History!A73)</f>
        <v/>
      </c>
      <c r="B71" s="76">
        <f>IF(History!K73="",NA(),History!K73)</f>
        <v/>
      </c>
      <c r="C71" s="76">
        <f>IF(History!L73="",NA(),History!L73)</f>
        <v/>
      </c>
      <c r="D71" s="77">
        <f>IF(History!M73="",NA(),History!M73)</f>
        <v/>
      </c>
      <c r="E71" s="77">
        <f>IF(History!N73="",NA(),History!N73)</f>
        <v/>
      </c>
      <c r="F71" s="77">
        <f>IF(History!D73="",NA(),History!D73)</f>
        <v/>
      </c>
    </row>
    <row r="72">
      <c r="A72" s="75">
        <f>IF(History!A74="",NA(),History!A74)</f>
        <v/>
      </c>
      <c r="B72" s="76">
        <f>IF(History!K74="",NA(),History!K74)</f>
        <v/>
      </c>
      <c r="C72" s="76">
        <f>IF(History!L74="",NA(),History!L74)</f>
        <v/>
      </c>
      <c r="D72" s="77">
        <f>IF(History!M74="",NA(),History!M74)</f>
        <v/>
      </c>
      <c r="E72" s="77">
        <f>IF(History!N74="",NA(),History!N74)</f>
        <v/>
      </c>
      <c r="F72" s="77">
        <f>IF(History!D74="",NA(),History!D74)</f>
        <v/>
      </c>
    </row>
    <row r="73">
      <c r="A73" s="75">
        <f>IF(History!A75="",NA(),History!A75)</f>
        <v/>
      </c>
      <c r="B73" s="76">
        <f>IF(History!K75="",NA(),History!K75)</f>
        <v/>
      </c>
      <c r="C73" s="76">
        <f>IF(History!L75="",NA(),History!L75)</f>
        <v/>
      </c>
      <c r="D73" s="77">
        <f>IF(History!M75="",NA(),History!M75)</f>
        <v/>
      </c>
      <c r="E73" s="77">
        <f>IF(History!N75="",NA(),History!N75)</f>
        <v/>
      </c>
      <c r="F73" s="77">
        <f>IF(History!D75="",NA(),History!D75)</f>
        <v/>
      </c>
    </row>
    <row r="74">
      <c r="A74" s="75">
        <f>IF(History!A76="",NA(),History!A76)</f>
        <v/>
      </c>
      <c r="B74" s="76">
        <f>IF(History!K76="",NA(),History!K76)</f>
        <v/>
      </c>
      <c r="C74" s="76">
        <f>IF(History!L76="",NA(),History!L76)</f>
        <v/>
      </c>
      <c r="D74" s="77">
        <f>IF(History!M76="",NA(),History!M76)</f>
        <v/>
      </c>
      <c r="E74" s="77">
        <f>IF(History!N76="",NA(),History!N76)</f>
        <v/>
      </c>
      <c r="F74" s="77">
        <f>IF(History!D76="",NA(),History!D76)</f>
        <v/>
      </c>
    </row>
    <row r="75">
      <c r="A75" s="75">
        <f>IF(History!A77="",NA(),History!A77)</f>
        <v/>
      </c>
      <c r="B75" s="76">
        <f>IF(History!K77="",NA(),History!K77)</f>
        <v/>
      </c>
      <c r="C75" s="76">
        <f>IF(History!L77="",NA(),History!L77)</f>
        <v/>
      </c>
      <c r="D75" s="77">
        <f>IF(History!M77="",NA(),History!M77)</f>
        <v/>
      </c>
      <c r="E75" s="77">
        <f>IF(History!N77="",NA(),History!N77)</f>
        <v/>
      </c>
      <c r="F75" s="77">
        <f>IF(History!D77="",NA(),History!D77)</f>
        <v/>
      </c>
    </row>
    <row r="76">
      <c r="A76" s="75">
        <f>IF(History!A78="",NA(),History!A78)</f>
        <v/>
      </c>
      <c r="B76" s="76">
        <f>IF(History!K78="",NA(),History!K78)</f>
        <v/>
      </c>
      <c r="C76" s="76">
        <f>IF(History!L78="",NA(),History!L78)</f>
        <v/>
      </c>
      <c r="D76" s="77">
        <f>IF(History!M78="",NA(),History!M78)</f>
        <v/>
      </c>
      <c r="E76" s="77">
        <f>IF(History!N78="",NA(),History!N78)</f>
        <v/>
      </c>
      <c r="F76" s="77">
        <f>IF(History!D78="",NA(),History!D78)</f>
        <v/>
      </c>
    </row>
    <row r="77">
      <c r="A77" s="75">
        <f>IF(History!A79="",NA(),History!A79)</f>
        <v/>
      </c>
      <c r="B77" s="76">
        <f>IF(History!K79="",NA(),History!K79)</f>
        <v/>
      </c>
      <c r="C77" s="76">
        <f>IF(History!L79="",NA(),History!L79)</f>
        <v/>
      </c>
      <c r="D77" s="77">
        <f>IF(History!M79="",NA(),History!M79)</f>
        <v/>
      </c>
      <c r="E77" s="77">
        <f>IF(History!N79="",NA(),History!N79)</f>
        <v/>
      </c>
      <c r="F77" s="77">
        <f>IF(History!D79="",NA(),History!D79)</f>
        <v/>
      </c>
    </row>
    <row r="78">
      <c r="A78" s="75">
        <f>IF(History!A80="",NA(),History!A80)</f>
        <v/>
      </c>
      <c r="B78" s="76">
        <f>IF(History!K80="",NA(),History!K80)</f>
        <v/>
      </c>
      <c r="C78" s="76">
        <f>IF(History!L80="",NA(),History!L80)</f>
        <v/>
      </c>
      <c r="D78" s="77">
        <f>IF(History!M80="",NA(),History!M80)</f>
        <v/>
      </c>
      <c r="E78" s="77">
        <f>IF(History!N80="",NA(),History!N80)</f>
        <v/>
      </c>
      <c r="F78" s="77">
        <f>IF(History!D80="",NA(),History!D80)</f>
        <v/>
      </c>
    </row>
    <row r="79">
      <c r="A79" s="75">
        <f>IF(History!A81="",NA(),History!A81)</f>
        <v/>
      </c>
      <c r="B79" s="76">
        <f>IF(History!K81="",NA(),History!K81)</f>
        <v/>
      </c>
      <c r="C79" s="76">
        <f>IF(History!L81="",NA(),History!L81)</f>
        <v/>
      </c>
      <c r="D79" s="77">
        <f>IF(History!M81="",NA(),History!M81)</f>
        <v/>
      </c>
      <c r="E79" s="77">
        <f>IF(History!N81="",NA(),History!N81)</f>
        <v/>
      </c>
      <c r="F79" s="77">
        <f>IF(History!D81="",NA(),History!D81)</f>
        <v/>
      </c>
    </row>
    <row r="80">
      <c r="A80" s="75">
        <f>IF(History!A82="",NA(),History!A82)</f>
        <v/>
      </c>
      <c r="B80" s="76">
        <f>IF(History!K82="",NA(),History!K82)</f>
        <v/>
      </c>
      <c r="C80" s="76">
        <f>IF(History!L82="",NA(),History!L82)</f>
        <v/>
      </c>
      <c r="D80" s="77">
        <f>IF(History!M82="",NA(),History!M82)</f>
        <v/>
      </c>
      <c r="E80" s="77">
        <f>IF(History!N82="",NA(),History!N82)</f>
        <v/>
      </c>
      <c r="F80" s="77">
        <f>IF(History!D82="",NA(),History!D82)</f>
        <v/>
      </c>
    </row>
    <row r="81">
      <c r="A81" s="75">
        <f>IF(History!A83="",NA(),History!A83)</f>
        <v/>
      </c>
      <c r="B81" s="76">
        <f>IF(History!K83="",NA(),History!K83)</f>
        <v/>
      </c>
      <c r="C81" s="76">
        <f>IF(History!L83="",NA(),History!L83)</f>
        <v/>
      </c>
      <c r="D81" s="77">
        <f>IF(History!M83="",NA(),History!M83)</f>
        <v/>
      </c>
      <c r="E81" s="77">
        <f>IF(History!N83="",NA(),History!N83)</f>
        <v/>
      </c>
      <c r="F81" s="77">
        <f>IF(History!D83="",NA(),History!D83)</f>
        <v/>
      </c>
    </row>
    <row r="82">
      <c r="A82" s="75">
        <f>IF(History!A84="",NA(),History!A84)</f>
        <v/>
      </c>
      <c r="B82" s="76">
        <f>IF(History!K84="",NA(),History!K84)</f>
        <v/>
      </c>
      <c r="C82" s="76">
        <f>IF(History!L84="",NA(),History!L84)</f>
        <v/>
      </c>
      <c r="D82" s="77">
        <f>IF(History!M84="",NA(),History!M84)</f>
        <v/>
      </c>
      <c r="E82" s="77">
        <f>IF(History!N84="",NA(),History!N84)</f>
        <v/>
      </c>
      <c r="F82" s="77">
        <f>IF(History!D84="",NA(),History!D84)</f>
        <v/>
      </c>
    </row>
    <row r="83">
      <c r="A83" s="75">
        <f>IF(History!A85="",NA(),History!A85)</f>
        <v/>
      </c>
      <c r="B83" s="76">
        <f>IF(History!K85="",NA(),History!K85)</f>
        <v/>
      </c>
      <c r="C83" s="76">
        <f>IF(History!L85="",NA(),History!L85)</f>
        <v/>
      </c>
      <c r="D83" s="77">
        <f>IF(History!M85="",NA(),History!M85)</f>
        <v/>
      </c>
      <c r="E83" s="77">
        <f>IF(History!N85="",NA(),History!N85)</f>
        <v/>
      </c>
      <c r="F83" s="77">
        <f>IF(History!D85="",NA(),History!D85)</f>
        <v/>
      </c>
    </row>
    <row r="84">
      <c r="A84" s="75">
        <f>IF(History!A86="",NA(),History!A86)</f>
        <v/>
      </c>
      <c r="B84" s="76">
        <f>IF(History!K86="",NA(),History!K86)</f>
        <v/>
      </c>
      <c r="C84" s="76">
        <f>IF(History!L86="",NA(),History!L86)</f>
        <v/>
      </c>
      <c r="D84" s="77">
        <f>IF(History!M86="",NA(),History!M86)</f>
        <v/>
      </c>
      <c r="E84" s="77">
        <f>IF(History!N86="",NA(),History!N86)</f>
        <v/>
      </c>
      <c r="F84" s="77">
        <f>IF(History!D86="",NA(),History!D86)</f>
        <v/>
      </c>
    </row>
    <row r="85">
      <c r="A85" s="75">
        <f>IF(History!A87="",NA(),History!A87)</f>
        <v/>
      </c>
      <c r="B85" s="76">
        <f>IF(History!K87="",NA(),History!K87)</f>
        <v/>
      </c>
      <c r="C85" s="76">
        <f>IF(History!L87="",NA(),History!L87)</f>
        <v/>
      </c>
      <c r="D85" s="77">
        <f>IF(History!M87="",NA(),History!M87)</f>
        <v/>
      </c>
      <c r="E85" s="77">
        <f>IF(History!N87="",NA(),History!N87)</f>
        <v/>
      </c>
      <c r="F85" s="77">
        <f>IF(History!D87="",NA(),History!D87)</f>
        <v/>
      </c>
    </row>
    <row r="86">
      <c r="A86" s="75">
        <f>IF(History!A88="",NA(),History!A88)</f>
        <v/>
      </c>
      <c r="B86" s="76">
        <f>IF(History!K88="",NA(),History!K88)</f>
        <v/>
      </c>
      <c r="C86" s="76">
        <f>IF(History!L88="",NA(),History!L88)</f>
        <v/>
      </c>
      <c r="D86" s="77">
        <f>IF(History!M88="",NA(),History!M88)</f>
        <v/>
      </c>
      <c r="E86" s="77">
        <f>IF(History!N88="",NA(),History!N88)</f>
        <v/>
      </c>
      <c r="F86" s="77">
        <f>IF(History!D88="",NA(),History!D88)</f>
        <v/>
      </c>
    </row>
    <row r="87">
      <c r="A87" s="75">
        <f>IF(History!A89="",NA(),History!A89)</f>
        <v/>
      </c>
      <c r="B87" s="76">
        <f>IF(History!K89="",NA(),History!K89)</f>
        <v/>
      </c>
      <c r="C87" s="76">
        <f>IF(History!L89="",NA(),History!L89)</f>
        <v/>
      </c>
      <c r="D87" s="77">
        <f>IF(History!M89="",NA(),History!M89)</f>
        <v/>
      </c>
      <c r="E87" s="77">
        <f>IF(History!N89="",NA(),History!N89)</f>
        <v/>
      </c>
      <c r="F87" s="77">
        <f>IF(History!D89="",NA(),History!D89)</f>
        <v/>
      </c>
    </row>
    <row r="88">
      <c r="A88" s="75">
        <f>IF(History!A90="",NA(),History!A90)</f>
        <v/>
      </c>
      <c r="B88" s="76">
        <f>IF(History!K90="",NA(),History!K90)</f>
        <v/>
      </c>
      <c r="C88" s="76">
        <f>IF(History!L90="",NA(),History!L90)</f>
        <v/>
      </c>
      <c r="D88" s="77">
        <f>IF(History!M90="",NA(),History!M90)</f>
        <v/>
      </c>
      <c r="E88" s="77">
        <f>IF(History!N90="",NA(),History!N90)</f>
        <v/>
      </c>
      <c r="F88" s="77">
        <f>IF(History!D90="",NA(),History!D90)</f>
        <v/>
      </c>
    </row>
    <row r="89">
      <c r="A89" s="75">
        <f>IF(History!A91="",NA(),History!A91)</f>
        <v/>
      </c>
      <c r="B89" s="76">
        <f>IF(History!K91="",NA(),History!K91)</f>
        <v/>
      </c>
      <c r="C89" s="76">
        <f>IF(History!L91="",NA(),History!L91)</f>
        <v/>
      </c>
      <c r="D89" s="77">
        <f>IF(History!M91="",NA(),History!M91)</f>
        <v/>
      </c>
      <c r="E89" s="77">
        <f>IF(History!N91="",NA(),History!N91)</f>
        <v/>
      </c>
      <c r="F89" s="77">
        <f>IF(History!D91="",NA(),History!D91)</f>
        <v/>
      </c>
    </row>
    <row r="90">
      <c r="A90" s="75">
        <f>IF(History!A92="",NA(),History!A92)</f>
        <v/>
      </c>
      <c r="B90" s="76">
        <f>IF(History!K92="",NA(),History!K92)</f>
        <v/>
      </c>
      <c r="C90" s="76">
        <f>IF(History!L92="",NA(),History!L92)</f>
        <v/>
      </c>
      <c r="D90" s="77">
        <f>IF(History!M92="",NA(),History!M92)</f>
        <v/>
      </c>
      <c r="E90" s="77">
        <f>IF(History!N92="",NA(),History!N92)</f>
        <v/>
      </c>
      <c r="F90" s="77">
        <f>IF(History!D92="",NA(),History!D92)</f>
        <v/>
      </c>
    </row>
    <row r="91">
      <c r="A91" s="75">
        <f>IF(History!A93="",NA(),History!A93)</f>
        <v/>
      </c>
      <c r="B91" s="76">
        <f>IF(History!K93="",NA(),History!K93)</f>
        <v/>
      </c>
      <c r="C91" s="76">
        <f>IF(History!L93="",NA(),History!L93)</f>
        <v/>
      </c>
      <c r="D91" s="77">
        <f>IF(History!M93="",NA(),History!M93)</f>
        <v/>
      </c>
      <c r="E91" s="77">
        <f>IF(History!N93="",NA(),History!N93)</f>
        <v/>
      </c>
      <c r="F91" s="77">
        <f>IF(History!D93="",NA(),History!D93)</f>
        <v/>
      </c>
    </row>
    <row r="92">
      <c r="A92" s="75">
        <f>IF(History!A94="",NA(),History!A94)</f>
        <v/>
      </c>
      <c r="B92" s="76">
        <f>IF(History!K94="",NA(),History!K94)</f>
        <v/>
      </c>
      <c r="C92" s="76">
        <f>IF(History!L94="",NA(),History!L94)</f>
        <v/>
      </c>
      <c r="D92" s="77">
        <f>IF(History!M94="",NA(),History!M94)</f>
        <v/>
      </c>
      <c r="E92" s="77">
        <f>IF(History!N94="",NA(),History!N94)</f>
        <v/>
      </c>
      <c r="F92" s="77">
        <f>IF(History!D94="",NA(),History!D94)</f>
        <v/>
      </c>
    </row>
    <row r="93">
      <c r="A93" s="75">
        <f>IF(History!A95="",NA(),History!A95)</f>
        <v/>
      </c>
      <c r="B93" s="76">
        <f>IF(History!K95="",NA(),History!K95)</f>
        <v/>
      </c>
      <c r="C93" s="76">
        <f>IF(History!L95="",NA(),History!L95)</f>
        <v/>
      </c>
      <c r="D93" s="77">
        <f>IF(History!M95="",NA(),History!M95)</f>
        <v/>
      </c>
      <c r="E93" s="77">
        <f>IF(History!N95="",NA(),History!N95)</f>
        <v/>
      </c>
      <c r="F93" s="77">
        <f>IF(History!D95="",NA(),History!D95)</f>
        <v/>
      </c>
    </row>
    <row r="94">
      <c r="A94" s="75">
        <f>IF(History!A96="",NA(),History!A96)</f>
        <v/>
      </c>
      <c r="B94" s="76">
        <f>IF(History!K96="",NA(),History!K96)</f>
        <v/>
      </c>
      <c r="C94" s="76">
        <f>IF(History!L96="",NA(),History!L96)</f>
        <v/>
      </c>
      <c r="D94" s="77">
        <f>IF(History!M96="",NA(),History!M96)</f>
        <v/>
      </c>
      <c r="E94" s="77">
        <f>IF(History!N96="",NA(),History!N96)</f>
        <v/>
      </c>
      <c r="F94" s="77">
        <f>IF(History!D96="",NA(),History!D96)</f>
        <v/>
      </c>
    </row>
    <row r="95">
      <c r="A95" s="75">
        <f>IF(History!A97="",NA(),History!A97)</f>
        <v/>
      </c>
      <c r="B95" s="76">
        <f>IF(History!K97="",NA(),History!K97)</f>
        <v/>
      </c>
      <c r="C95" s="76">
        <f>IF(History!L97="",NA(),History!L97)</f>
        <v/>
      </c>
      <c r="D95" s="77">
        <f>IF(History!M97="",NA(),History!M97)</f>
        <v/>
      </c>
      <c r="E95" s="77">
        <f>IF(History!N97="",NA(),History!N97)</f>
        <v/>
      </c>
      <c r="F95" s="77">
        <f>IF(History!D97="",NA(),History!D97)</f>
        <v/>
      </c>
    </row>
    <row r="96">
      <c r="A96" s="75">
        <f>IF(History!A98="",NA(),History!A98)</f>
        <v/>
      </c>
      <c r="B96" s="76">
        <f>IF(History!K98="",NA(),History!K98)</f>
        <v/>
      </c>
      <c r="C96" s="76">
        <f>IF(History!L98="",NA(),History!L98)</f>
        <v/>
      </c>
      <c r="D96" s="77">
        <f>IF(History!M98="",NA(),History!M98)</f>
        <v/>
      </c>
      <c r="E96" s="77">
        <f>IF(History!N98="",NA(),History!N98)</f>
        <v/>
      </c>
      <c r="F96" s="77">
        <f>IF(History!D98="",NA(),History!D98)</f>
        <v/>
      </c>
    </row>
    <row r="97">
      <c r="A97" s="75">
        <f>IF(History!A99="",NA(),History!A99)</f>
        <v/>
      </c>
      <c r="B97" s="76">
        <f>IF(History!K99="",NA(),History!K99)</f>
        <v/>
      </c>
      <c r="C97" s="76">
        <f>IF(History!L99="",NA(),History!L99)</f>
        <v/>
      </c>
      <c r="D97" s="77">
        <f>IF(History!M99="",NA(),History!M99)</f>
        <v/>
      </c>
      <c r="E97" s="77">
        <f>IF(History!N99="",NA(),History!N99)</f>
        <v/>
      </c>
      <c r="F97" s="77">
        <f>IF(History!D99="",NA(),History!D99)</f>
        <v/>
      </c>
    </row>
    <row r="98">
      <c r="A98" s="75">
        <f>IF(History!A100="",NA(),History!A100)</f>
        <v/>
      </c>
      <c r="B98" s="76">
        <f>IF(History!K100="",NA(),History!K100)</f>
        <v/>
      </c>
      <c r="C98" s="76">
        <f>IF(History!L100="",NA(),History!L100)</f>
        <v/>
      </c>
      <c r="D98" s="77">
        <f>IF(History!M100="",NA(),History!M100)</f>
        <v/>
      </c>
      <c r="E98" s="77">
        <f>IF(History!N100="",NA(),History!N100)</f>
        <v/>
      </c>
      <c r="F98" s="77">
        <f>IF(History!D100="",NA(),History!D100)</f>
        <v/>
      </c>
    </row>
    <row r="99">
      <c r="A99" s="75">
        <f>IF(History!A101="",NA(),History!A101)</f>
        <v/>
      </c>
      <c r="B99" s="76">
        <f>IF(History!K101="",NA(),History!K101)</f>
        <v/>
      </c>
      <c r="C99" s="76">
        <f>IF(History!L101="",NA(),History!L101)</f>
        <v/>
      </c>
      <c r="D99" s="77">
        <f>IF(History!M101="",NA(),History!M101)</f>
        <v/>
      </c>
      <c r="E99" s="77">
        <f>IF(History!N101="",NA(),History!N101)</f>
        <v/>
      </c>
      <c r="F99" s="77">
        <f>IF(History!D101="",NA(),History!D101)</f>
        <v/>
      </c>
    </row>
    <row r="100">
      <c r="A100" s="75">
        <f>IF(History!A102="",NA(),History!A102)</f>
        <v/>
      </c>
      <c r="B100" s="76">
        <f>IF(History!K102="",NA(),History!K102)</f>
        <v/>
      </c>
      <c r="C100" s="76">
        <f>IF(History!L102="",NA(),History!L102)</f>
        <v/>
      </c>
      <c r="D100" s="77">
        <f>IF(History!M102="",NA(),History!M102)</f>
        <v/>
      </c>
      <c r="E100" s="77">
        <f>IF(History!N102="",NA(),History!N102)</f>
        <v/>
      </c>
      <c r="F100" s="77">
        <f>IF(History!D102="",NA(),History!D102)</f>
        <v/>
      </c>
    </row>
    <row r="101">
      <c r="A101" s="75">
        <f>IF(History!A103="",NA(),History!A103)</f>
        <v/>
      </c>
      <c r="B101" s="76">
        <f>IF(History!K103="",NA(),History!K103)</f>
        <v/>
      </c>
      <c r="C101" s="76">
        <f>IF(History!L103="",NA(),History!L103)</f>
        <v/>
      </c>
      <c r="D101" s="77">
        <f>IF(History!M103="",NA(),History!M103)</f>
        <v/>
      </c>
      <c r="E101" s="77">
        <f>IF(History!N103="",NA(),History!N103)</f>
        <v/>
      </c>
      <c r="F101" s="77">
        <f>IF(History!D103="",NA(),History!D103)</f>
        <v/>
      </c>
    </row>
    <row r="102">
      <c r="A102" s="75">
        <f>IF(History!A104="",NA(),History!A104)</f>
        <v/>
      </c>
      <c r="B102" s="76">
        <f>IF(History!K104="",NA(),History!K104)</f>
        <v/>
      </c>
      <c r="C102" s="76">
        <f>IF(History!L104="",NA(),History!L104)</f>
        <v/>
      </c>
      <c r="D102" s="77">
        <f>IF(History!M104="",NA(),History!M104)</f>
        <v/>
      </c>
      <c r="E102" s="77">
        <f>IF(History!N104="",NA(),History!N104)</f>
        <v/>
      </c>
      <c r="F102" s="77">
        <f>IF(History!D104="",NA(),History!D104)</f>
        <v/>
      </c>
    </row>
    <row r="103">
      <c r="A103" s="75">
        <f>IF(History!A105="",NA(),History!A105)</f>
        <v/>
      </c>
      <c r="B103" s="76">
        <f>IF(History!K105="",NA(),History!K105)</f>
        <v/>
      </c>
      <c r="C103" s="76">
        <f>IF(History!L105="",NA(),History!L105)</f>
        <v/>
      </c>
      <c r="D103" s="77">
        <f>IF(History!M105="",NA(),History!M105)</f>
        <v/>
      </c>
      <c r="E103" s="77">
        <f>IF(History!N105="",NA(),History!N105)</f>
        <v/>
      </c>
      <c r="F103" s="77">
        <f>IF(History!D105="",NA(),History!D105)</f>
        <v/>
      </c>
    </row>
    <row r="104">
      <c r="A104" s="75">
        <f>IF(History!A106="",NA(),History!A106)</f>
        <v/>
      </c>
      <c r="B104" s="76">
        <f>IF(History!K106="",NA(),History!K106)</f>
        <v/>
      </c>
      <c r="C104" s="76">
        <f>IF(History!L106="",NA(),History!L106)</f>
        <v/>
      </c>
      <c r="D104" s="77">
        <f>IF(History!M106="",NA(),History!M106)</f>
        <v/>
      </c>
      <c r="E104" s="77">
        <f>IF(History!N106="",NA(),History!N106)</f>
        <v/>
      </c>
      <c r="F104" s="77">
        <f>IF(History!D106="",NA(),History!D106)</f>
        <v/>
      </c>
    </row>
    <row r="105">
      <c r="A105" s="75">
        <f>IF(History!A107="",NA(),History!A107)</f>
        <v/>
      </c>
      <c r="B105" s="76">
        <f>IF(History!K107="",NA(),History!K107)</f>
        <v/>
      </c>
      <c r="C105" s="76">
        <f>IF(History!L107="",NA(),History!L107)</f>
        <v/>
      </c>
      <c r="D105" s="77">
        <f>IF(History!M107="",NA(),History!M107)</f>
        <v/>
      </c>
      <c r="E105" s="77">
        <f>IF(History!N107="",NA(),History!N107)</f>
        <v/>
      </c>
      <c r="F105" s="77">
        <f>IF(History!D107="",NA(),History!D107)</f>
        <v/>
      </c>
    </row>
    <row r="106">
      <c r="A106" s="75">
        <f>IF(History!A108="",NA(),History!A108)</f>
        <v/>
      </c>
      <c r="B106" s="76">
        <f>IF(History!K108="",NA(),History!K108)</f>
        <v/>
      </c>
      <c r="C106" s="76">
        <f>IF(History!L108="",NA(),History!L108)</f>
        <v/>
      </c>
      <c r="D106" s="77">
        <f>IF(History!M108="",NA(),History!M108)</f>
        <v/>
      </c>
      <c r="E106" s="77">
        <f>IF(History!N108="",NA(),History!N108)</f>
        <v/>
      </c>
      <c r="F106" s="77">
        <f>IF(History!D108="",NA(),History!D108)</f>
        <v/>
      </c>
    </row>
    <row r="107">
      <c r="A107" s="75">
        <f>IF(History!A109="",NA(),History!A109)</f>
        <v/>
      </c>
      <c r="B107" s="76">
        <f>IF(History!K109="",NA(),History!K109)</f>
        <v/>
      </c>
      <c r="C107" s="76">
        <f>IF(History!L109="",NA(),History!L109)</f>
        <v/>
      </c>
      <c r="D107" s="77">
        <f>IF(History!M109="",NA(),History!M109)</f>
        <v/>
      </c>
      <c r="E107" s="77">
        <f>IF(History!N109="",NA(),History!N109)</f>
        <v/>
      </c>
      <c r="F107" s="77">
        <f>IF(History!D109="",NA(),History!D109)</f>
        <v/>
      </c>
    </row>
    <row r="108">
      <c r="A108" s="75">
        <f>IF(History!A110="",NA(),History!A110)</f>
        <v/>
      </c>
      <c r="B108" s="76">
        <f>IF(History!K110="",NA(),History!K110)</f>
        <v/>
      </c>
      <c r="C108" s="76">
        <f>IF(History!L110="",NA(),History!L110)</f>
        <v/>
      </c>
      <c r="D108" s="77">
        <f>IF(History!M110="",NA(),History!M110)</f>
        <v/>
      </c>
      <c r="E108" s="77">
        <f>IF(History!N110="",NA(),History!N110)</f>
        <v/>
      </c>
      <c r="F108" s="77">
        <f>IF(History!D110="",NA(),History!D110)</f>
        <v/>
      </c>
    </row>
    <row r="109">
      <c r="A109" s="75">
        <f>IF(History!A111="",NA(),History!A111)</f>
        <v/>
      </c>
      <c r="B109" s="76">
        <f>IF(History!K111="",NA(),History!K111)</f>
        <v/>
      </c>
      <c r="C109" s="76">
        <f>IF(History!L111="",NA(),History!L111)</f>
        <v/>
      </c>
      <c r="D109" s="77">
        <f>IF(History!M111="",NA(),History!M111)</f>
        <v/>
      </c>
      <c r="E109" s="77">
        <f>IF(History!N111="",NA(),History!N111)</f>
        <v/>
      </c>
      <c r="F109" s="77">
        <f>IF(History!D111="",NA(),History!D111)</f>
        <v/>
      </c>
    </row>
    <row r="110">
      <c r="A110" s="75">
        <f>IF(History!A112="",NA(),History!A112)</f>
        <v/>
      </c>
      <c r="B110" s="76">
        <f>IF(History!K112="",NA(),History!K112)</f>
        <v/>
      </c>
      <c r="C110" s="76">
        <f>IF(History!L112="",NA(),History!L112)</f>
        <v/>
      </c>
      <c r="D110" s="77">
        <f>IF(History!M112="",NA(),History!M112)</f>
        <v/>
      </c>
      <c r="E110" s="77">
        <f>IF(History!N112="",NA(),History!N112)</f>
        <v/>
      </c>
      <c r="F110" s="77">
        <f>IF(History!D112="",NA(),History!D112)</f>
        <v/>
      </c>
    </row>
    <row r="111">
      <c r="A111" s="75">
        <f>IF(History!A113="",NA(),History!A113)</f>
        <v/>
      </c>
      <c r="B111" s="76">
        <f>IF(History!K113="",NA(),History!K113)</f>
        <v/>
      </c>
      <c r="C111" s="76">
        <f>IF(History!L113="",NA(),History!L113)</f>
        <v/>
      </c>
      <c r="D111" s="77">
        <f>IF(History!M113="",NA(),History!M113)</f>
        <v/>
      </c>
      <c r="E111" s="77">
        <f>IF(History!N113="",NA(),History!N113)</f>
        <v/>
      </c>
      <c r="F111" s="77">
        <f>IF(History!D113="",NA(),History!D113)</f>
        <v/>
      </c>
    </row>
    <row r="112">
      <c r="A112" s="75">
        <f>IF(History!A114="",NA(),History!A114)</f>
        <v/>
      </c>
      <c r="B112" s="76">
        <f>IF(History!K114="",NA(),History!K114)</f>
        <v/>
      </c>
      <c r="C112" s="76">
        <f>IF(History!L114="",NA(),History!L114)</f>
        <v/>
      </c>
      <c r="D112" s="77">
        <f>IF(History!M114="",NA(),History!M114)</f>
        <v/>
      </c>
      <c r="E112" s="77">
        <f>IF(History!N114="",NA(),History!N114)</f>
        <v/>
      </c>
      <c r="F112" s="77">
        <f>IF(History!D114="",NA(),History!D114)</f>
        <v/>
      </c>
    </row>
    <row r="113">
      <c r="A113" s="75">
        <f>IF(History!A115="",NA(),History!A115)</f>
        <v/>
      </c>
      <c r="B113" s="76">
        <f>IF(History!K115="",NA(),History!K115)</f>
        <v/>
      </c>
      <c r="C113" s="76">
        <f>IF(History!L115="",NA(),History!L115)</f>
        <v/>
      </c>
      <c r="D113" s="77">
        <f>IF(History!M115="",NA(),History!M115)</f>
        <v/>
      </c>
      <c r="E113" s="77">
        <f>IF(History!N115="",NA(),History!N115)</f>
        <v/>
      </c>
      <c r="F113" s="77">
        <f>IF(History!D115="",NA(),History!D115)</f>
        <v/>
      </c>
    </row>
    <row r="114">
      <c r="A114" s="75">
        <f>IF(History!A116="",NA(),History!A116)</f>
        <v/>
      </c>
      <c r="B114" s="76">
        <f>IF(History!K116="",NA(),History!K116)</f>
        <v/>
      </c>
      <c r="C114" s="76">
        <f>IF(History!L116="",NA(),History!L116)</f>
        <v/>
      </c>
      <c r="D114" s="77">
        <f>IF(History!M116="",NA(),History!M116)</f>
        <v/>
      </c>
      <c r="E114" s="77">
        <f>IF(History!N116="",NA(),History!N116)</f>
        <v/>
      </c>
      <c r="F114" s="77">
        <f>IF(History!D116="",NA(),History!D116)</f>
        <v/>
      </c>
    </row>
    <row r="115">
      <c r="A115" s="75">
        <f>IF(History!A117="",NA(),History!A117)</f>
        <v/>
      </c>
      <c r="B115" s="76">
        <f>IF(History!K117="",NA(),History!K117)</f>
        <v/>
      </c>
      <c r="C115" s="76">
        <f>IF(History!L117="",NA(),History!L117)</f>
        <v/>
      </c>
      <c r="D115" s="77">
        <f>IF(History!M117="",NA(),History!M117)</f>
        <v/>
      </c>
      <c r="E115" s="77">
        <f>IF(History!N117="",NA(),History!N117)</f>
        <v/>
      </c>
      <c r="F115" s="77">
        <f>IF(History!D117="",NA(),History!D117)</f>
        <v/>
      </c>
    </row>
    <row r="116">
      <c r="A116" s="75">
        <f>IF(History!A118="",NA(),History!A118)</f>
        <v/>
      </c>
      <c r="B116" s="76">
        <f>IF(History!K118="",NA(),History!K118)</f>
        <v/>
      </c>
      <c r="C116" s="76">
        <f>IF(History!L118="",NA(),History!L118)</f>
        <v/>
      </c>
      <c r="D116" s="77">
        <f>IF(History!M118="",NA(),History!M118)</f>
        <v/>
      </c>
      <c r="E116" s="77">
        <f>IF(History!N118="",NA(),History!N118)</f>
        <v/>
      </c>
      <c r="F116" s="77">
        <f>IF(History!D118="",NA(),History!D118)</f>
        <v/>
      </c>
    </row>
    <row r="117">
      <c r="A117" s="75">
        <f>IF(History!A119="",NA(),History!A119)</f>
        <v/>
      </c>
      <c r="B117" s="76">
        <f>IF(History!K119="",NA(),History!K119)</f>
        <v/>
      </c>
      <c r="C117" s="76">
        <f>IF(History!L119="",NA(),History!L119)</f>
        <v/>
      </c>
      <c r="D117" s="77">
        <f>IF(History!M119="",NA(),History!M119)</f>
        <v/>
      </c>
      <c r="E117" s="77">
        <f>IF(History!N119="",NA(),History!N119)</f>
        <v/>
      </c>
      <c r="F117" s="77">
        <f>IF(History!D119="",NA(),History!D119)</f>
        <v/>
      </c>
    </row>
    <row r="118">
      <c r="A118" s="75">
        <f>IF(History!A120="",NA(),History!A120)</f>
        <v/>
      </c>
      <c r="B118" s="76">
        <f>IF(History!K120="",NA(),History!K120)</f>
        <v/>
      </c>
      <c r="C118" s="76">
        <f>IF(History!L120="",NA(),History!L120)</f>
        <v/>
      </c>
      <c r="D118" s="77">
        <f>IF(History!M120="",NA(),History!M120)</f>
        <v/>
      </c>
      <c r="E118" s="77">
        <f>IF(History!N120="",NA(),History!N120)</f>
        <v/>
      </c>
      <c r="F118" s="77">
        <f>IF(History!D120="",NA(),History!D120)</f>
        <v/>
      </c>
    </row>
    <row r="119">
      <c r="A119" s="75">
        <f>IF(History!A121="",NA(),History!A121)</f>
        <v/>
      </c>
      <c r="B119" s="76">
        <f>IF(History!K121="",NA(),History!K121)</f>
        <v/>
      </c>
      <c r="C119" s="76">
        <f>IF(History!L121="",NA(),History!L121)</f>
        <v/>
      </c>
      <c r="D119" s="77">
        <f>IF(History!M121="",NA(),History!M121)</f>
        <v/>
      </c>
      <c r="E119" s="77">
        <f>IF(History!N121="",NA(),History!N121)</f>
        <v/>
      </c>
      <c r="F119" s="77">
        <f>IF(History!D121="",NA(),History!D121)</f>
        <v/>
      </c>
    </row>
    <row r="120">
      <c r="A120" s="75">
        <f>IF(History!A122="",NA(),History!A122)</f>
        <v/>
      </c>
      <c r="B120" s="76">
        <f>IF(History!K122="",NA(),History!K122)</f>
        <v/>
      </c>
      <c r="C120" s="76">
        <f>IF(History!L122="",NA(),History!L122)</f>
        <v/>
      </c>
      <c r="D120" s="77">
        <f>IF(History!M122="",NA(),History!M122)</f>
        <v/>
      </c>
      <c r="E120" s="77">
        <f>IF(History!N122="",NA(),History!N122)</f>
        <v/>
      </c>
      <c r="F120" s="77">
        <f>IF(History!D122="",NA(),History!D122)</f>
        <v/>
      </c>
    </row>
    <row r="121">
      <c r="A121" s="75">
        <f>IF(History!A123="",NA(),History!A123)</f>
        <v/>
      </c>
      <c r="B121" s="76">
        <f>IF(History!K123="",NA(),History!K123)</f>
        <v/>
      </c>
      <c r="C121" s="76">
        <f>IF(History!L123="",NA(),History!L123)</f>
        <v/>
      </c>
      <c r="D121" s="77">
        <f>IF(History!M123="",NA(),History!M123)</f>
        <v/>
      </c>
      <c r="E121" s="77">
        <f>IF(History!N123="",NA(),History!N123)</f>
        <v/>
      </c>
      <c r="F121" s="77">
        <f>IF(History!D123="",NA(),History!D123)</f>
        <v/>
      </c>
    </row>
    <row r="122">
      <c r="A122" s="75">
        <f>IF(History!A124="",NA(),History!A124)</f>
        <v/>
      </c>
      <c r="B122" s="76">
        <f>IF(History!K124="",NA(),History!K124)</f>
        <v/>
      </c>
      <c r="C122" s="76">
        <f>IF(History!L124="",NA(),History!L124)</f>
        <v/>
      </c>
      <c r="D122" s="77">
        <f>IF(History!M124="",NA(),History!M124)</f>
        <v/>
      </c>
      <c r="E122" s="77">
        <f>IF(History!N124="",NA(),History!N124)</f>
        <v/>
      </c>
      <c r="F122" s="77">
        <f>IF(History!D124="",NA(),History!D124)</f>
        <v/>
      </c>
    </row>
    <row r="123">
      <c r="A123" s="75">
        <f>IF(History!A125="",NA(),History!A125)</f>
        <v/>
      </c>
      <c r="B123" s="76">
        <f>IF(History!K125="",NA(),History!K125)</f>
        <v/>
      </c>
      <c r="C123" s="76">
        <f>IF(History!L125="",NA(),History!L125)</f>
        <v/>
      </c>
      <c r="D123" s="77">
        <f>IF(History!M125="",NA(),History!M125)</f>
        <v/>
      </c>
      <c r="E123" s="77">
        <f>IF(History!N125="",NA(),History!N125)</f>
        <v/>
      </c>
      <c r="F123" s="77">
        <f>IF(History!D125="",NA(),History!D125)</f>
        <v/>
      </c>
    </row>
    <row r="124">
      <c r="A124" s="75">
        <f>IF(History!A126="",NA(),History!A126)</f>
        <v/>
      </c>
      <c r="B124" s="76">
        <f>IF(History!K126="",NA(),History!K126)</f>
        <v/>
      </c>
      <c r="C124" s="76">
        <f>IF(History!L126="",NA(),History!L126)</f>
        <v/>
      </c>
      <c r="D124" s="77">
        <f>IF(History!M126="",NA(),History!M126)</f>
        <v/>
      </c>
      <c r="E124" s="77">
        <f>IF(History!N126="",NA(),History!N126)</f>
        <v/>
      </c>
      <c r="F124" s="77">
        <f>IF(History!D126="",NA(),History!D126)</f>
        <v/>
      </c>
    </row>
    <row r="125">
      <c r="A125" s="75">
        <f>IF(History!A127="",NA(),History!A127)</f>
        <v/>
      </c>
      <c r="B125" s="76">
        <f>IF(History!K127="",NA(),History!K127)</f>
        <v/>
      </c>
      <c r="C125" s="76">
        <f>IF(History!L127="",NA(),History!L127)</f>
        <v/>
      </c>
      <c r="D125" s="77">
        <f>IF(History!M127="",NA(),History!M127)</f>
        <v/>
      </c>
      <c r="E125" s="77">
        <f>IF(History!N127="",NA(),History!N127)</f>
        <v/>
      </c>
      <c r="F125" s="77">
        <f>IF(History!D127="",NA(),History!D127)</f>
        <v/>
      </c>
    </row>
    <row r="126">
      <c r="A126" s="75">
        <f>IF(History!A128="",NA(),History!A128)</f>
        <v/>
      </c>
      <c r="B126" s="76">
        <f>IF(History!K128="",NA(),History!K128)</f>
        <v/>
      </c>
      <c r="C126" s="76">
        <f>IF(History!L128="",NA(),History!L128)</f>
        <v/>
      </c>
      <c r="D126" s="77">
        <f>IF(History!M128="",NA(),History!M128)</f>
        <v/>
      </c>
      <c r="E126" s="77">
        <f>IF(History!N128="",NA(),History!N128)</f>
        <v/>
      </c>
      <c r="F126" s="77">
        <f>IF(History!D128="",NA(),History!D128)</f>
        <v/>
      </c>
    </row>
    <row r="127">
      <c r="A127" s="75">
        <f>IF(History!A129="",NA(),History!A129)</f>
        <v/>
      </c>
      <c r="B127" s="76">
        <f>IF(History!K129="",NA(),History!K129)</f>
        <v/>
      </c>
      <c r="C127" s="76">
        <f>IF(History!L129="",NA(),History!L129)</f>
        <v/>
      </c>
      <c r="D127" s="77">
        <f>IF(History!M129="",NA(),History!M129)</f>
        <v/>
      </c>
      <c r="E127" s="77">
        <f>IF(History!N129="",NA(),History!N129)</f>
        <v/>
      </c>
      <c r="F127" s="77">
        <f>IF(History!D129="",NA(),History!D129)</f>
        <v/>
      </c>
    </row>
    <row r="128">
      <c r="A128" s="75">
        <f>IF(History!A130="",NA(),History!A130)</f>
        <v/>
      </c>
      <c r="B128" s="76">
        <f>IF(History!K130="",NA(),History!K130)</f>
        <v/>
      </c>
      <c r="C128" s="76">
        <f>IF(History!L130="",NA(),History!L130)</f>
        <v/>
      </c>
      <c r="D128" s="77">
        <f>IF(History!M130="",NA(),History!M130)</f>
        <v/>
      </c>
      <c r="E128" s="77">
        <f>IF(History!N130="",NA(),History!N130)</f>
        <v/>
      </c>
      <c r="F128" s="77">
        <f>IF(History!D130="",NA(),History!D130)</f>
        <v/>
      </c>
    </row>
    <row r="129">
      <c r="A129" s="75">
        <f>IF(History!A131="",NA(),History!A131)</f>
        <v/>
      </c>
      <c r="B129" s="76">
        <f>IF(History!K131="",NA(),History!K131)</f>
        <v/>
      </c>
      <c r="C129" s="76">
        <f>IF(History!L131="",NA(),History!L131)</f>
        <v/>
      </c>
      <c r="D129" s="77">
        <f>IF(History!M131="",NA(),History!M131)</f>
        <v/>
      </c>
      <c r="E129" s="77">
        <f>IF(History!N131="",NA(),History!N131)</f>
        <v/>
      </c>
      <c r="F129" s="77">
        <f>IF(History!D131="",NA(),History!D131)</f>
        <v/>
      </c>
    </row>
    <row r="130">
      <c r="A130" s="75">
        <f>IF(History!A132="",NA(),History!A132)</f>
        <v/>
      </c>
      <c r="B130" s="76">
        <f>IF(History!K132="",NA(),History!K132)</f>
        <v/>
      </c>
      <c r="C130" s="76">
        <f>IF(History!L132="",NA(),History!L132)</f>
        <v/>
      </c>
      <c r="D130" s="77">
        <f>IF(History!M132="",NA(),History!M132)</f>
        <v/>
      </c>
      <c r="E130" s="77">
        <f>IF(History!N132="",NA(),History!N132)</f>
        <v/>
      </c>
      <c r="F130" s="77">
        <f>IF(History!D132="",NA(),History!D132)</f>
        <v/>
      </c>
    </row>
    <row r="131">
      <c r="A131" s="75">
        <f>IF(History!A133="",NA(),History!A133)</f>
        <v/>
      </c>
      <c r="B131" s="76">
        <f>IF(History!K133="",NA(),History!K133)</f>
        <v/>
      </c>
      <c r="C131" s="76">
        <f>IF(History!L133="",NA(),History!L133)</f>
        <v/>
      </c>
      <c r="D131" s="77">
        <f>IF(History!M133="",NA(),History!M133)</f>
        <v/>
      </c>
      <c r="E131" s="77">
        <f>IF(History!N133="",NA(),History!N133)</f>
        <v/>
      </c>
      <c r="F131" s="77">
        <f>IF(History!D133="",NA(),History!D133)</f>
        <v/>
      </c>
    </row>
    <row r="132">
      <c r="A132" s="75">
        <f>IF(History!A134="",NA(),History!A134)</f>
        <v/>
      </c>
      <c r="B132" s="76">
        <f>IF(History!K134="",NA(),History!K134)</f>
        <v/>
      </c>
      <c r="C132" s="76">
        <f>IF(History!L134="",NA(),History!L134)</f>
        <v/>
      </c>
      <c r="D132" s="77">
        <f>IF(History!M134="",NA(),History!M134)</f>
        <v/>
      </c>
      <c r="E132" s="77">
        <f>IF(History!N134="",NA(),History!N134)</f>
        <v/>
      </c>
      <c r="F132" s="77">
        <f>IF(History!D134="",NA(),History!D134)</f>
        <v/>
      </c>
    </row>
    <row r="133">
      <c r="A133" s="75">
        <f>IF(History!A135="",NA(),History!A135)</f>
        <v/>
      </c>
      <c r="B133" s="76">
        <f>IF(History!K135="",NA(),History!K135)</f>
        <v/>
      </c>
      <c r="C133" s="76">
        <f>IF(History!L135="",NA(),History!L135)</f>
        <v/>
      </c>
      <c r="D133" s="77">
        <f>IF(History!M135="",NA(),History!M135)</f>
        <v/>
      </c>
      <c r="E133" s="77">
        <f>IF(History!N135="",NA(),History!N135)</f>
        <v/>
      </c>
      <c r="F133" s="77">
        <f>IF(History!D135="",NA(),History!D135)</f>
        <v/>
      </c>
    </row>
    <row r="134">
      <c r="A134" s="75">
        <f>IF(History!A136="",NA(),History!A136)</f>
        <v/>
      </c>
      <c r="B134" s="76">
        <f>IF(History!K136="",NA(),History!K136)</f>
        <v/>
      </c>
      <c r="C134" s="76">
        <f>IF(History!L136="",NA(),History!L136)</f>
        <v/>
      </c>
      <c r="D134" s="77">
        <f>IF(History!M136="",NA(),History!M136)</f>
        <v/>
      </c>
      <c r="E134" s="77">
        <f>IF(History!N136="",NA(),History!N136)</f>
        <v/>
      </c>
      <c r="F134" s="77">
        <f>IF(History!D136="",NA(),History!D136)</f>
        <v/>
      </c>
    </row>
    <row r="135">
      <c r="A135" s="75">
        <f>IF(History!A137="",NA(),History!A137)</f>
        <v/>
      </c>
      <c r="B135" s="76">
        <f>IF(History!K137="",NA(),History!K137)</f>
        <v/>
      </c>
      <c r="C135" s="76">
        <f>IF(History!L137="",NA(),History!L137)</f>
        <v/>
      </c>
      <c r="D135" s="77">
        <f>IF(History!M137="",NA(),History!M137)</f>
        <v/>
      </c>
      <c r="E135" s="77">
        <f>IF(History!N137="",NA(),History!N137)</f>
        <v/>
      </c>
      <c r="F135" s="77">
        <f>IF(History!D137="",NA(),History!D137)</f>
        <v/>
      </c>
    </row>
    <row r="136">
      <c r="A136" s="75">
        <f>IF(History!A138="",NA(),History!A138)</f>
        <v/>
      </c>
      <c r="B136" s="76">
        <f>IF(History!K138="",NA(),History!K138)</f>
        <v/>
      </c>
      <c r="C136" s="76">
        <f>IF(History!L138="",NA(),History!L138)</f>
        <v/>
      </c>
      <c r="D136" s="77">
        <f>IF(History!M138="",NA(),History!M138)</f>
        <v/>
      </c>
      <c r="E136" s="77">
        <f>IF(History!N138="",NA(),History!N138)</f>
        <v/>
      </c>
      <c r="F136" s="77">
        <f>IF(History!D138="",NA(),History!D138)</f>
        <v/>
      </c>
    </row>
    <row r="137">
      <c r="A137" s="75">
        <f>IF(History!A139="",NA(),History!A139)</f>
        <v/>
      </c>
      <c r="B137" s="76">
        <f>IF(History!K139="",NA(),History!K139)</f>
        <v/>
      </c>
      <c r="C137" s="76">
        <f>IF(History!L139="",NA(),History!L139)</f>
        <v/>
      </c>
      <c r="D137" s="77">
        <f>IF(History!M139="",NA(),History!M139)</f>
        <v/>
      </c>
      <c r="E137" s="77">
        <f>IF(History!N139="",NA(),History!N139)</f>
        <v/>
      </c>
      <c r="F137" s="77">
        <f>IF(History!D139="",NA(),History!D139)</f>
        <v/>
      </c>
    </row>
    <row r="138">
      <c r="A138" s="75">
        <f>IF(History!A140="",NA(),History!A140)</f>
        <v/>
      </c>
      <c r="B138" s="76">
        <f>IF(History!K140="",NA(),History!K140)</f>
        <v/>
      </c>
      <c r="C138" s="76">
        <f>IF(History!L140="",NA(),History!L140)</f>
        <v/>
      </c>
      <c r="D138" s="77">
        <f>IF(History!M140="",NA(),History!M140)</f>
        <v/>
      </c>
      <c r="E138" s="77">
        <f>IF(History!N140="",NA(),History!N140)</f>
        <v/>
      </c>
      <c r="F138" s="77">
        <f>IF(History!D140="",NA(),History!D140)</f>
        <v/>
      </c>
    </row>
    <row r="139">
      <c r="A139" s="75">
        <f>IF(History!A141="",NA(),History!A141)</f>
        <v/>
      </c>
      <c r="B139" s="76">
        <f>IF(History!K141="",NA(),History!K141)</f>
        <v/>
      </c>
      <c r="C139" s="76">
        <f>IF(History!L141="",NA(),History!L141)</f>
        <v/>
      </c>
      <c r="D139" s="77">
        <f>IF(History!M141="",NA(),History!M141)</f>
        <v/>
      </c>
      <c r="E139" s="77">
        <f>IF(History!N141="",NA(),History!N141)</f>
        <v/>
      </c>
      <c r="F139" s="77">
        <f>IF(History!D141="",NA(),History!D141)</f>
        <v/>
      </c>
    </row>
    <row r="140">
      <c r="A140" s="75">
        <f>IF(History!A142="",NA(),History!A142)</f>
        <v/>
      </c>
      <c r="B140" s="76">
        <f>IF(History!K142="",NA(),History!K142)</f>
        <v/>
      </c>
      <c r="C140" s="76">
        <f>IF(History!L142="",NA(),History!L142)</f>
        <v/>
      </c>
      <c r="D140" s="77">
        <f>IF(History!M142="",NA(),History!M142)</f>
        <v/>
      </c>
      <c r="E140" s="77">
        <f>IF(History!N142="",NA(),History!N142)</f>
        <v/>
      </c>
      <c r="F140" s="77">
        <f>IF(History!D142="",NA(),History!D142)</f>
        <v/>
      </c>
    </row>
    <row r="141">
      <c r="A141" s="75">
        <f>IF(History!A143="",NA(),History!A143)</f>
        <v/>
      </c>
      <c r="B141" s="76">
        <f>IF(History!K143="",NA(),History!K143)</f>
        <v/>
      </c>
      <c r="C141" s="76">
        <f>IF(History!L143="",NA(),History!L143)</f>
        <v/>
      </c>
      <c r="D141" s="77">
        <f>IF(History!M143="",NA(),History!M143)</f>
        <v/>
      </c>
      <c r="E141" s="77">
        <f>IF(History!N143="",NA(),History!N143)</f>
        <v/>
      </c>
      <c r="F141" s="77">
        <f>IF(History!D143="",NA(),History!D143)</f>
        <v/>
      </c>
    </row>
    <row r="142">
      <c r="A142" s="75">
        <f>IF(History!A144="",NA(),History!A144)</f>
        <v/>
      </c>
      <c r="B142" s="76">
        <f>IF(History!K144="",NA(),History!K144)</f>
        <v/>
      </c>
      <c r="C142" s="76">
        <f>IF(History!L144="",NA(),History!L144)</f>
        <v/>
      </c>
      <c r="D142" s="77">
        <f>IF(History!M144="",NA(),History!M144)</f>
        <v/>
      </c>
      <c r="E142" s="77">
        <f>IF(History!N144="",NA(),History!N144)</f>
        <v/>
      </c>
      <c r="F142" s="77">
        <f>IF(History!D144="",NA(),History!D144)</f>
        <v/>
      </c>
    </row>
    <row r="143">
      <c r="A143" s="75">
        <f>IF(History!A145="",NA(),History!A145)</f>
        <v/>
      </c>
      <c r="B143" s="76">
        <f>IF(History!K145="",NA(),History!K145)</f>
        <v/>
      </c>
      <c r="C143" s="76">
        <f>IF(History!L145="",NA(),History!L145)</f>
        <v/>
      </c>
      <c r="D143" s="77">
        <f>IF(History!M145="",NA(),History!M145)</f>
        <v/>
      </c>
      <c r="E143" s="77">
        <f>IF(History!N145="",NA(),History!N145)</f>
        <v/>
      </c>
      <c r="F143" s="77">
        <f>IF(History!D145="",NA(),History!D145)</f>
        <v/>
      </c>
    </row>
    <row r="144">
      <c r="A144" s="75">
        <f>IF(History!A146="",NA(),History!A146)</f>
        <v/>
      </c>
      <c r="B144" s="76">
        <f>IF(History!K146="",NA(),History!K146)</f>
        <v/>
      </c>
      <c r="C144" s="76">
        <f>IF(History!L146="",NA(),History!L146)</f>
        <v/>
      </c>
      <c r="D144" s="77">
        <f>IF(History!M146="",NA(),History!M146)</f>
        <v/>
      </c>
      <c r="E144" s="77">
        <f>IF(History!N146="",NA(),History!N146)</f>
        <v/>
      </c>
      <c r="F144" s="77">
        <f>IF(History!D146="",NA(),History!D146)</f>
        <v/>
      </c>
    </row>
    <row r="145">
      <c r="A145" s="75">
        <f>IF(History!A147="",NA(),History!A147)</f>
        <v/>
      </c>
      <c r="B145" s="76">
        <f>IF(History!K147="",NA(),History!K147)</f>
        <v/>
      </c>
      <c r="C145" s="76">
        <f>IF(History!L147="",NA(),History!L147)</f>
        <v/>
      </c>
      <c r="D145" s="77">
        <f>IF(History!M147="",NA(),History!M147)</f>
        <v/>
      </c>
      <c r="E145" s="77">
        <f>IF(History!N147="",NA(),History!N147)</f>
        <v/>
      </c>
      <c r="F145" s="77">
        <f>IF(History!D147="",NA(),History!D147)</f>
        <v/>
      </c>
    </row>
    <row r="146">
      <c r="A146" s="75">
        <f>IF(History!A148="",NA(),History!A148)</f>
        <v/>
      </c>
      <c r="B146" s="76">
        <f>IF(History!K148="",NA(),History!K148)</f>
        <v/>
      </c>
      <c r="C146" s="76">
        <f>IF(History!L148="",NA(),History!L148)</f>
        <v/>
      </c>
      <c r="D146" s="77">
        <f>IF(History!M148="",NA(),History!M148)</f>
        <v/>
      </c>
      <c r="E146" s="77">
        <f>IF(History!N148="",NA(),History!N148)</f>
        <v/>
      </c>
      <c r="F146" s="77">
        <f>IF(History!D148="",NA(),History!D148)</f>
        <v/>
      </c>
    </row>
    <row r="147">
      <c r="A147" s="75">
        <f>IF(History!A149="",NA(),History!A149)</f>
        <v/>
      </c>
      <c r="B147" s="76">
        <f>IF(History!K149="",NA(),History!K149)</f>
        <v/>
      </c>
      <c r="C147" s="76">
        <f>IF(History!L149="",NA(),History!L149)</f>
        <v/>
      </c>
      <c r="D147" s="77">
        <f>IF(History!M149="",NA(),History!M149)</f>
        <v/>
      </c>
      <c r="E147" s="77">
        <f>IF(History!N149="",NA(),History!N149)</f>
        <v/>
      </c>
      <c r="F147" s="77">
        <f>IF(History!D149="",NA(),History!D149)</f>
        <v/>
      </c>
    </row>
    <row r="148">
      <c r="A148" s="75">
        <f>IF(History!A150="",NA(),History!A150)</f>
        <v/>
      </c>
      <c r="B148" s="76">
        <f>IF(History!K150="",NA(),History!K150)</f>
        <v/>
      </c>
      <c r="C148" s="76">
        <f>IF(History!L150="",NA(),History!L150)</f>
        <v/>
      </c>
      <c r="D148" s="77">
        <f>IF(History!M150="",NA(),History!M150)</f>
        <v/>
      </c>
      <c r="E148" s="77">
        <f>IF(History!N150="",NA(),History!N150)</f>
        <v/>
      </c>
      <c r="F148" s="77">
        <f>IF(History!D150="",NA(),History!D150)</f>
        <v/>
      </c>
    </row>
    <row r="149">
      <c r="A149" s="75">
        <f>IF(History!A151="",NA(),History!A151)</f>
        <v/>
      </c>
      <c r="B149" s="76">
        <f>IF(History!K151="",NA(),History!K151)</f>
        <v/>
      </c>
      <c r="C149" s="76">
        <f>IF(History!L151="",NA(),History!L151)</f>
        <v/>
      </c>
      <c r="D149" s="77">
        <f>IF(History!M151="",NA(),History!M151)</f>
        <v/>
      </c>
      <c r="E149" s="77">
        <f>IF(History!N151="",NA(),History!N151)</f>
        <v/>
      </c>
      <c r="F149" s="77">
        <f>IF(History!D151="",NA(),History!D151)</f>
        <v/>
      </c>
    </row>
    <row r="150">
      <c r="A150" s="75">
        <f>IF(History!A152="",NA(),History!A152)</f>
        <v/>
      </c>
      <c r="B150" s="76">
        <f>IF(History!K152="",NA(),History!K152)</f>
        <v/>
      </c>
      <c r="C150" s="76">
        <f>IF(History!L152="",NA(),History!L152)</f>
        <v/>
      </c>
      <c r="D150" s="77">
        <f>IF(History!M152="",NA(),History!M152)</f>
        <v/>
      </c>
      <c r="E150" s="77">
        <f>IF(History!N152="",NA(),History!N152)</f>
        <v/>
      </c>
      <c r="F150" s="77">
        <f>IF(History!D152="",NA(),History!D152)</f>
        <v/>
      </c>
    </row>
    <row r="151">
      <c r="A151" s="75">
        <f>IF(History!A153="",NA(),History!A153)</f>
        <v/>
      </c>
      <c r="B151" s="76">
        <f>IF(History!K153="",NA(),History!K153)</f>
        <v/>
      </c>
      <c r="C151" s="76">
        <f>IF(History!L153="",NA(),History!L153)</f>
        <v/>
      </c>
      <c r="D151" s="77">
        <f>IF(History!M153="",NA(),History!M153)</f>
        <v/>
      </c>
      <c r="E151" s="77">
        <f>IF(History!N153="",NA(),History!N153)</f>
        <v/>
      </c>
      <c r="F151" s="77">
        <f>IF(History!D153="",NA(),History!D153)</f>
        <v/>
      </c>
    </row>
    <row r="152">
      <c r="A152" s="75">
        <f>IF(History!A154="",NA(),History!A154)</f>
        <v/>
      </c>
      <c r="B152" s="76">
        <f>IF(History!K154="",NA(),History!K154)</f>
        <v/>
      </c>
      <c r="C152" s="76">
        <f>IF(History!L154="",NA(),History!L154)</f>
        <v/>
      </c>
      <c r="D152" s="77">
        <f>IF(History!M154="",NA(),History!M154)</f>
        <v/>
      </c>
      <c r="E152" s="77">
        <f>IF(History!N154="",NA(),History!N154)</f>
        <v/>
      </c>
      <c r="F152" s="77">
        <f>IF(History!D154="",NA(),History!D154)</f>
        <v/>
      </c>
    </row>
    <row r="153">
      <c r="A153" s="75">
        <f>IF(History!A155="",NA(),History!A155)</f>
        <v/>
      </c>
      <c r="B153" s="76">
        <f>IF(History!K155="",NA(),History!K155)</f>
        <v/>
      </c>
      <c r="C153" s="76">
        <f>IF(History!L155="",NA(),History!L155)</f>
        <v/>
      </c>
      <c r="D153" s="77">
        <f>IF(History!M155="",NA(),History!M155)</f>
        <v/>
      </c>
      <c r="E153" s="77">
        <f>IF(History!N155="",NA(),History!N155)</f>
        <v/>
      </c>
      <c r="F153" s="77">
        <f>IF(History!D155="",NA(),History!D155)</f>
        <v/>
      </c>
    </row>
    <row r="154">
      <c r="A154" s="75">
        <f>IF(History!A156="",NA(),History!A156)</f>
        <v/>
      </c>
      <c r="B154" s="76">
        <f>IF(History!K156="",NA(),History!K156)</f>
        <v/>
      </c>
      <c r="C154" s="76">
        <f>IF(History!L156="",NA(),History!L156)</f>
        <v/>
      </c>
      <c r="D154" s="77">
        <f>IF(History!M156="",NA(),History!M156)</f>
        <v/>
      </c>
      <c r="E154" s="77">
        <f>IF(History!N156="",NA(),History!N156)</f>
        <v/>
      </c>
      <c r="F154" s="77">
        <f>IF(History!D156="",NA(),History!D156)</f>
        <v/>
      </c>
    </row>
    <row r="155">
      <c r="A155" s="75">
        <f>IF(History!A157="",NA(),History!A157)</f>
        <v/>
      </c>
      <c r="B155" s="76">
        <f>IF(History!K157="",NA(),History!K157)</f>
        <v/>
      </c>
      <c r="C155" s="76">
        <f>IF(History!L157="",NA(),History!L157)</f>
        <v/>
      </c>
      <c r="D155" s="77">
        <f>IF(History!M157="",NA(),History!M157)</f>
        <v/>
      </c>
      <c r="E155" s="77">
        <f>IF(History!N157="",NA(),History!N157)</f>
        <v/>
      </c>
      <c r="F155" s="77">
        <f>IF(History!D157="",NA(),History!D157)</f>
        <v/>
      </c>
    </row>
    <row r="156">
      <c r="A156" s="75">
        <f>IF(History!A158="",NA(),History!A158)</f>
        <v/>
      </c>
      <c r="B156" s="76">
        <f>IF(History!K158="",NA(),History!K158)</f>
        <v/>
      </c>
      <c r="C156" s="76">
        <f>IF(History!L158="",NA(),History!L158)</f>
        <v/>
      </c>
      <c r="D156" s="77">
        <f>IF(History!M158="",NA(),History!M158)</f>
        <v/>
      </c>
      <c r="E156" s="77">
        <f>IF(History!N158="",NA(),History!N158)</f>
        <v/>
      </c>
      <c r="F156" s="77">
        <f>IF(History!D158="",NA(),History!D158)</f>
        <v/>
      </c>
    </row>
    <row r="157">
      <c r="A157" s="75">
        <f>IF(History!A159="",NA(),History!A159)</f>
        <v/>
      </c>
      <c r="B157" s="76">
        <f>IF(History!K159="",NA(),History!K159)</f>
        <v/>
      </c>
      <c r="C157" s="76">
        <f>IF(History!L159="",NA(),History!L159)</f>
        <v/>
      </c>
      <c r="D157" s="77">
        <f>IF(History!M159="",NA(),History!M159)</f>
        <v/>
      </c>
      <c r="E157" s="77">
        <f>IF(History!N159="",NA(),History!N159)</f>
        <v/>
      </c>
      <c r="F157" s="77">
        <f>IF(History!D159="",NA(),History!D159)</f>
        <v/>
      </c>
    </row>
    <row r="158">
      <c r="A158" s="75">
        <f>IF(History!A160="",NA(),History!A160)</f>
        <v/>
      </c>
      <c r="B158" s="76">
        <f>IF(History!K160="",NA(),History!K160)</f>
        <v/>
      </c>
      <c r="C158" s="76">
        <f>IF(History!L160="",NA(),History!L160)</f>
        <v/>
      </c>
      <c r="D158" s="77">
        <f>IF(History!M160="",NA(),History!M160)</f>
        <v/>
      </c>
      <c r="E158" s="77">
        <f>IF(History!N160="",NA(),History!N160)</f>
        <v/>
      </c>
      <c r="F158" s="77">
        <f>IF(History!D160="",NA(),History!D160)</f>
        <v/>
      </c>
    </row>
    <row r="159">
      <c r="A159" s="75">
        <f>IF(History!A161="",NA(),History!A161)</f>
        <v/>
      </c>
      <c r="B159" s="76">
        <f>IF(History!K161="",NA(),History!K161)</f>
        <v/>
      </c>
      <c r="C159" s="76">
        <f>IF(History!L161="",NA(),History!L161)</f>
        <v/>
      </c>
      <c r="D159" s="77">
        <f>IF(History!M161="",NA(),History!M161)</f>
        <v/>
      </c>
      <c r="E159" s="77">
        <f>IF(History!N161="",NA(),History!N161)</f>
        <v/>
      </c>
      <c r="F159" s="77">
        <f>IF(History!D161="",NA(),History!D161)</f>
        <v/>
      </c>
    </row>
    <row r="160">
      <c r="A160" s="75">
        <f>IF(History!A162="",NA(),History!A162)</f>
        <v/>
      </c>
      <c r="B160" s="76">
        <f>IF(History!K162="",NA(),History!K162)</f>
        <v/>
      </c>
      <c r="C160" s="76">
        <f>IF(History!L162="",NA(),History!L162)</f>
        <v/>
      </c>
      <c r="D160" s="77">
        <f>IF(History!M162="",NA(),History!M162)</f>
        <v/>
      </c>
      <c r="E160" s="77">
        <f>IF(History!N162="",NA(),History!N162)</f>
        <v/>
      </c>
      <c r="F160" s="77">
        <f>IF(History!D162="",NA(),History!D162)</f>
        <v/>
      </c>
    </row>
    <row r="161">
      <c r="A161" s="75">
        <f>IF(History!A163="",NA(),History!A163)</f>
        <v/>
      </c>
      <c r="B161" s="76">
        <f>IF(History!K163="",NA(),History!K163)</f>
        <v/>
      </c>
      <c r="C161" s="76">
        <f>IF(History!L163="",NA(),History!L163)</f>
        <v/>
      </c>
      <c r="D161" s="77">
        <f>IF(History!M163="",NA(),History!M163)</f>
        <v/>
      </c>
      <c r="E161" s="77">
        <f>IF(History!N163="",NA(),History!N163)</f>
        <v/>
      </c>
      <c r="F161" s="77">
        <f>IF(History!D163="",NA(),History!D163)</f>
        <v/>
      </c>
    </row>
    <row r="162">
      <c r="A162" s="75">
        <f>IF(History!A164="",NA(),History!A164)</f>
        <v/>
      </c>
      <c r="B162" s="76">
        <f>IF(History!K164="",NA(),History!K164)</f>
        <v/>
      </c>
      <c r="C162" s="76">
        <f>IF(History!L164="",NA(),History!L164)</f>
        <v/>
      </c>
      <c r="D162" s="77">
        <f>IF(History!M164="",NA(),History!M164)</f>
        <v/>
      </c>
      <c r="E162" s="77">
        <f>IF(History!N164="",NA(),History!N164)</f>
        <v/>
      </c>
      <c r="F162" s="77">
        <f>IF(History!D164="",NA(),History!D164)</f>
        <v/>
      </c>
    </row>
    <row r="163">
      <c r="A163" s="75">
        <f>IF(History!A165="",NA(),History!A165)</f>
        <v/>
      </c>
      <c r="B163" s="76">
        <f>IF(History!K165="",NA(),History!K165)</f>
        <v/>
      </c>
      <c r="C163" s="76">
        <f>IF(History!L165="",NA(),History!L165)</f>
        <v/>
      </c>
      <c r="D163" s="77">
        <f>IF(History!M165="",NA(),History!M165)</f>
        <v/>
      </c>
      <c r="E163" s="77">
        <f>IF(History!N165="",NA(),History!N165)</f>
        <v/>
      </c>
      <c r="F163" s="77">
        <f>IF(History!D165="",NA(),History!D165)</f>
        <v/>
      </c>
    </row>
    <row r="164">
      <c r="A164" s="75">
        <f>IF(History!A166="",NA(),History!A166)</f>
        <v/>
      </c>
      <c r="B164" s="76">
        <f>IF(History!K166="",NA(),History!K166)</f>
        <v/>
      </c>
      <c r="C164" s="76">
        <f>IF(History!L166="",NA(),History!L166)</f>
        <v/>
      </c>
      <c r="D164" s="77">
        <f>IF(History!M166="",NA(),History!M166)</f>
        <v/>
      </c>
      <c r="E164" s="77">
        <f>IF(History!N166="",NA(),History!N166)</f>
        <v/>
      </c>
      <c r="F164" s="77">
        <f>IF(History!D166="",NA(),History!D166)</f>
        <v/>
      </c>
    </row>
    <row r="165">
      <c r="A165" s="75">
        <f>IF(History!A167="",NA(),History!A167)</f>
        <v/>
      </c>
      <c r="B165" s="76">
        <f>IF(History!K167="",NA(),History!K167)</f>
        <v/>
      </c>
      <c r="C165" s="76">
        <f>IF(History!L167="",NA(),History!L167)</f>
        <v/>
      </c>
      <c r="D165" s="77">
        <f>IF(History!M167="",NA(),History!M167)</f>
        <v/>
      </c>
      <c r="E165" s="77">
        <f>IF(History!N167="",NA(),History!N167)</f>
        <v/>
      </c>
      <c r="F165" s="77">
        <f>IF(History!D167="",NA(),History!D167)</f>
        <v/>
      </c>
    </row>
    <row r="166">
      <c r="A166" s="75">
        <f>IF(History!A168="",NA(),History!A168)</f>
        <v/>
      </c>
      <c r="B166" s="76">
        <f>IF(History!K168="",NA(),History!K168)</f>
        <v/>
      </c>
      <c r="C166" s="76">
        <f>IF(History!L168="",NA(),History!L168)</f>
        <v/>
      </c>
      <c r="D166" s="77">
        <f>IF(History!M168="",NA(),History!M168)</f>
        <v/>
      </c>
      <c r="E166" s="77">
        <f>IF(History!N168="",NA(),History!N168)</f>
        <v/>
      </c>
      <c r="F166" s="77">
        <f>IF(History!D168="",NA(),History!D168)</f>
        <v/>
      </c>
    </row>
    <row r="167">
      <c r="A167" s="75">
        <f>IF(History!A169="",NA(),History!A169)</f>
        <v/>
      </c>
      <c r="B167" s="76">
        <f>IF(History!K169="",NA(),History!K169)</f>
        <v/>
      </c>
      <c r="C167" s="76">
        <f>IF(History!L169="",NA(),History!L169)</f>
        <v/>
      </c>
      <c r="D167" s="77">
        <f>IF(History!M169="",NA(),History!M169)</f>
        <v/>
      </c>
      <c r="E167" s="77">
        <f>IF(History!N169="",NA(),History!N169)</f>
        <v/>
      </c>
      <c r="F167" s="77">
        <f>IF(History!D169="",NA(),History!D169)</f>
        <v/>
      </c>
    </row>
    <row r="168">
      <c r="A168" s="75">
        <f>IF(History!A170="",NA(),History!A170)</f>
        <v/>
      </c>
      <c r="B168" s="76">
        <f>IF(History!K170="",NA(),History!K170)</f>
        <v/>
      </c>
      <c r="C168" s="76">
        <f>IF(History!L170="",NA(),History!L170)</f>
        <v/>
      </c>
      <c r="D168" s="77">
        <f>IF(History!M170="",NA(),History!M170)</f>
        <v/>
      </c>
      <c r="E168" s="77">
        <f>IF(History!N170="",NA(),History!N170)</f>
        <v/>
      </c>
      <c r="F168" s="77">
        <f>IF(History!D170="",NA(),History!D170)</f>
        <v/>
      </c>
    </row>
    <row r="169">
      <c r="A169" s="75">
        <f>IF(History!A171="",NA(),History!A171)</f>
        <v/>
      </c>
      <c r="B169" s="76">
        <f>IF(History!K171="",NA(),History!K171)</f>
        <v/>
      </c>
      <c r="C169" s="76">
        <f>IF(History!L171="",NA(),History!L171)</f>
        <v/>
      </c>
      <c r="D169" s="77">
        <f>IF(History!M171="",NA(),History!M171)</f>
        <v/>
      </c>
      <c r="E169" s="77">
        <f>IF(History!N171="",NA(),History!N171)</f>
        <v/>
      </c>
      <c r="F169" s="77">
        <f>IF(History!D171="",NA(),History!D171)</f>
        <v/>
      </c>
    </row>
    <row r="170">
      <c r="A170" s="75">
        <f>IF(History!A172="",NA(),History!A172)</f>
        <v/>
      </c>
      <c r="B170" s="76">
        <f>IF(History!K172="",NA(),History!K172)</f>
        <v/>
      </c>
      <c r="C170" s="76">
        <f>IF(History!L172="",NA(),History!L172)</f>
        <v/>
      </c>
      <c r="D170" s="77">
        <f>IF(History!M172="",NA(),History!M172)</f>
        <v/>
      </c>
      <c r="E170" s="77">
        <f>IF(History!N172="",NA(),History!N172)</f>
        <v/>
      </c>
      <c r="F170" s="77">
        <f>IF(History!D172="",NA(),History!D172)</f>
        <v/>
      </c>
    </row>
    <row r="171">
      <c r="A171" s="75">
        <f>IF(History!A173="",NA(),History!A173)</f>
        <v/>
      </c>
      <c r="B171" s="76">
        <f>IF(History!K173="",NA(),History!K173)</f>
        <v/>
      </c>
      <c r="C171" s="76">
        <f>IF(History!L173="",NA(),History!L173)</f>
        <v/>
      </c>
      <c r="D171" s="77">
        <f>IF(History!M173="",NA(),History!M173)</f>
        <v/>
      </c>
      <c r="E171" s="77">
        <f>IF(History!N173="",NA(),History!N173)</f>
        <v/>
      </c>
      <c r="F171" s="77">
        <f>IF(History!D173="",NA(),History!D173)</f>
        <v/>
      </c>
    </row>
    <row r="172">
      <c r="A172" s="75">
        <f>IF(History!A174="",NA(),History!A174)</f>
        <v/>
      </c>
      <c r="B172" s="76">
        <f>IF(History!K174="",NA(),History!K174)</f>
        <v/>
      </c>
      <c r="C172" s="76">
        <f>IF(History!L174="",NA(),History!L174)</f>
        <v/>
      </c>
      <c r="D172" s="77">
        <f>IF(History!M174="",NA(),History!M174)</f>
        <v/>
      </c>
      <c r="E172" s="77">
        <f>IF(History!N174="",NA(),History!N174)</f>
        <v/>
      </c>
      <c r="F172" s="77">
        <f>IF(History!D174="",NA(),History!D174)</f>
        <v/>
      </c>
    </row>
    <row r="173">
      <c r="A173" s="75">
        <f>IF(History!A175="",NA(),History!A175)</f>
        <v/>
      </c>
      <c r="B173" s="76">
        <f>IF(History!K175="",NA(),History!K175)</f>
        <v/>
      </c>
      <c r="C173" s="76">
        <f>IF(History!L175="",NA(),History!L175)</f>
        <v/>
      </c>
      <c r="D173" s="77">
        <f>IF(History!M175="",NA(),History!M175)</f>
        <v/>
      </c>
      <c r="E173" s="77">
        <f>IF(History!N175="",NA(),History!N175)</f>
        <v/>
      </c>
      <c r="F173" s="77">
        <f>IF(History!D175="",NA(),History!D175)</f>
        <v/>
      </c>
    </row>
    <row r="174">
      <c r="A174" s="75">
        <f>IF(History!A176="",NA(),History!A176)</f>
        <v/>
      </c>
      <c r="B174" s="76">
        <f>IF(History!K176="",NA(),History!K176)</f>
        <v/>
      </c>
      <c r="C174" s="76">
        <f>IF(History!L176="",NA(),History!L176)</f>
        <v/>
      </c>
      <c r="D174" s="77">
        <f>IF(History!M176="",NA(),History!M176)</f>
        <v/>
      </c>
      <c r="E174" s="77">
        <f>IF(History!N176="",NA(),History!N176)</f>
        <v/>
      </c>
      <c r="F174" s="77">
        <f>IF(History!D176="",NA(),History!D176)</f>
        <v/>
      </c>
    </row>
    <row r="175">
      <c r="A175" s="75">
        <f>IF(History!A177="",NA(),History!A177)</f>
        <v/>
      </c>
      <c r="B175" s="76">
        <f>IF(History!K177="",NA(),History!K177)</f>
        <v/>
      </c>
      <c r="C175" s="76">
        <f>IF(History!L177="",NA(),History!L177)</f>
        <v/>
      </c>
      <c r="D175" s="77">
        <f>IF(History!M177="",NA(),History!M177)</f>
        <v/>
      </c>
      <c r="E175" s="77">
        <f>IF(History!N177="",NA(),History!N177)</f>
        <v/>
      </c>
      <c r="F175" s="77">
        <f>IF(History!D177="",NA(),History!D177)</f>
        <v/>
      </c>
    </row>
    <row r="176">
      <c r="A176" s="75">
        <f>IF(History!A178="",NA(),History!A178)</f>
        <v/>
      </c>
      <c r="B176" s="76">
        <f>IF(History!K178="",NA(),History!K178)</f>
        <v/>
      </c>
      <c r="C176" s="76">
        <f>IF(History!L178="",NA(),History!L178)</f>
        <v/>
      </c>
      <c r="D176" s="77">
        <f>IF(History!M178="",NA(),History!M178)</f>
        <v/>
      </c>
      <c r="E176" s="77">
        <f>IF(History!N178="",NA(),History!N178)</f>
        <v/>
      </c>
      <c r="F176" s="77">
        <f>IF(History!D178="",NA(),History!D178)</f>
        <v/>
      </c>
    </row>
    <row r="177">
      <c r="A177" s="75">
        <f>IF(History!A179="",NA(),History!A179)</f>
        <v/>
      </c>
      <c r="B177" s="76">
        <f>IF(History!K179="",NA(),History!K179)</f>
        <v/>
      </c>
      <c r="C177" s="76">
        <f>IF(History!L179="",NA(),History!L179)</f>
        <v/>
      </c>
      <c r="D177" s="77">
        <f>IF(History!M179="",NA(),History!M179)</f>
        <v/>
      </c>
      <c r="E177" s="77">
        <f>IF(History!N179="",NA(),History!N179)</f>
        <v/>
      </c>
      <c r="F177" s="77">
        <f>IF(History!D179="",NA(),History!D179)</f>
        <v/>
      </c>
    </row>
    <row r="178">
      <c r="A178" s="75">
        <f>IF(History!A180="",NA(),History!A180)</f>
        <v/>
      </c>
      <c r="B178" s="76">
        <f>IF(History!K180="",NA(),History!K180)</f>
        <v/>
      </c>
      <c r="C178" s="76">
        <f>IF(History!L180="",NA(),History!L180)</f>
        <v/>
      </c>
      <c r="D178" s="77">
        <f>IF(History!M180="",NA(),History!M180)</f>
        <v/>
      </c>
      <c r="E178" s="77">
        <f>IF(History!N180="",NA(),History!N180)</f>
        <v/>
      </c>
      <c r="F178" s="77">
        <f>IF(History!D180="",NA(),History!D180)</f>
        <v/>
      </c>
    </row>
    <row r="179">
      <c r="A179" s="75">
        <f>IF(History!A181="",NA(),History!A181)</f>
        <v/>
      </c>
      <c r="B179" s="76">
        <f>IF(History!K181="",NA(),History!K181)</f>
        <v/>
      </c>
      <c r="C179" s="76">
        <f>IF(History!L181="",NA(),History!L181)</f>
        <v/>
      </c>
      <c r="D179" s="77">
        <f>IF(History!M181="",NA(),History!M181)</f>
        <v/>
      </c>
      <c r="E179" s="77">
        <f>IF(History!N181="",NA(),History!N181)</f>
        <v/>
      </c>
      <c r="F179" s="77">
        <f>IF(History!D181="",NA(),History!D181)</f>
        <v/>
      </c>
    </row>
    <row r="180">
      <c r="A180" s="75">
        <f>IF(History!A182="",NA(),History!A182)</f>
        <v/>
      </c>
      <c r="B180" s="76">
        <f>IF(History!K182="",NA(),History!K182)</f>
        <v/>
      </c>
      <c r="C180" s="76">
        <f>IF(History!L182="",NA(),History!L182)</f>
        <v/>
      </c>
      <c r="D180" s="77">
        <f>IF(History!M182="",NA(),History!M182)</f>
        <v/>
      </c>
      <c r="E180" s="77">
        <f>IF(History!N182="",NA(),History!N182)</f>
        <v/>
      </c>
      <c r="F180" s="77">
        <f>IF(History!D182="",NA(),History!D182)</f>
        <v/>
      </c>
    </row>
    <row r="181">
      <c r="A181" s="75">
        <f>IF(History!A183="",NA(),History!A183)</f>
        <v/>
      </c>
      <c r="B181" s="76">
        <f>IF(History!K183="",NA(),History!K183)</f>
        <v/>
      </c>
      <c r="C181" s="76">
        <f>IF(History!L183="",NA(),History!L183)</f>
        <v/>
      </c>
      <c r="D181" s="77">
        <f>IF(History!M183="",NA(),History!M183)</f>
        <v/>
      </c>
      <c r="E181" s="77">
        <f>IF(History!N183="",NA(),History!N183)</f>
        <v/>
      </c>
      <c r="F181" s="77">
        <f>IF(History!D183="",NA(),History!D183)</f>
        <v/>
      </c>
    </row>
    <row r="182">
      <c r="A182" s="75">
        <f>IF(History!A184="",NA(),History!A184)</f>
        <v/>
      </c>
      <c r="B182" s="76">
        <f>IF(History!K184="",NA(),History!K184)</f>
        <v/>
      </c>
      <c r="C182" s="76">
        <f>IF(History!L184="",NA(),History!L184)</f>
        <v/>
      </c>
      <c r="D182" s="77">
        <f>IF(History!M184="",NA(),History!M184)</f>
        <v/>
      </c>
      <c r="E182" s="77">
        <f>IF(History!N184="",NA(),History!N184)</f>
        <v/>
      </c>
      <c r="F182" s="77">
        <f>IF(History!D184="",NA(),History!D184)</f>
        <v/>
      </c>
    </row>
    <row r="183">
      <c r="A183" s="75">
        <f>IF(History!A185="",NA(),History!A185)</f>
        <v/>
      </c>
      <c r="B183" s="76">
        <f>IF(History!K185="",NA(),History!K185)</f>
        <v/>
      </c>
      <c r="C183" s="76">
        <f>IF(History!L185="",NA(),History!L185)</f>
        <v/>
      </c>
      <c r="D183" s="77">
        <f>IF(History!M185="",NA(),History!M185)</f>
        <v/>
      </c>
      <c r="E183" s="77">
        <f>IF(History!N185="",NA(),History!N185)</f>
        <v/>
      </c>
      <c r="F183" s="77">
        <f>IF(History!D185="",NA(),History!D185)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2026-10-13T15:28:47Z</dcterms:created>
  <dcterms:modified xmlns:dcterms="http://purl.org/dc/terms/" xmlns:xsi="http://www.w3.org/2001/XMLSchema-instance" xsi:type="dcterms:W3CDTF">2026-10-13T15:28:47Z</dcterms:modified>
</cp:coreProperties>
</file>